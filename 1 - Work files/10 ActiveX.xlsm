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https://d.docs.live.net/766ad335eae59435/exceltip/3-Школа Excel/04 Excel VBA/09 Элементы управления ActiveX/"/>
    </mc:Choice>
  </mc:AlternateContent>
  <xr:revisionPtr revIDLastSave="4" documentId="11_72FB3258B1BD49EDDA4EEA29E13C37B20DF227B7" xr6:coauthVersionLast="45" xr6:coauthVersionMax="45" xr10:uidLastSave="{FCA8BAA4-1BFB-4E14-A80C-FA808C8CCB8E}"/>
  <bookViews>
    <workbookView xWindow="-120" yWindow="-120" windowWidth="29040" windowHeight="15990" activeTab="7" xr2:uid="{00000000-000D-0000-FFFF-FFFF00000000}"/>
  </bookViews>
  <sheets>
    <sheet name="Sheet1" sheetId="1" r:id="rId1"/>
    <sheet name="Calculator" sheetId="2" r:id="rId2"/>
    <sheet name="Option_Button" sheetId="3" r:id="rId3"/>
    <sheet name="Spinner" sheetId="4" r:id="rId4"/>
    <sheet name="ComboBox" sheetId="5" r:id="rId5"/>
    <sheet name="ListBox" sheetId="6" r:id="rId6"/>
    <sheet name="ScrollBar" sheetId="7" r:id="rId7"/>
    <sheet name="Picture" sheetId="8" r:id="rId8"/>
  </sheets>
  <definedNames>
    <definedName name="films" localSheetId="5">OFFSET(ListBox!$B$2,1,0,COUNTA(ListBox!$B:$B)-1,2)</definedName>
    <definedName name="films">OFFSET(ComboBox!$B$2,1,0,COUNTA(ComboBox!$B:$B)-1,2)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7" l="1"/>
  <c r="I7" i="7" s="1"/>
  <c r="J7" i="7" s="1"/>
  <c r="H8" i="7"/>
  <c r="I8" i="7" s="1"/>
  <c r="J8" i="7" s="1"/>
  <c r="H9" i="7"/>
  <c r="I9" i="7" s="1"/>
  <c r="J9" i="7" s="1"/>
  <c r="H10" i="7"/>
  <c r="I10" i="7" s="1"/>
  <c r="H11" i="7"/>
  <c r="I11" i="7" s="1"/>
  <c r="J11" i="7" s="1"/>
  <c r="H12" i="7"/>
  <c r="I12" i="7" s="1"/>
  <c r="J12" i="7" s="1"/>
  <c r="H6" i="7"/>
  <c r="I6" i="7" s="1"/>
  <c r="J6" i="7" s="1"/>
  <c r="G7" i="7"/>
  <c r="G8" i="7"/>
  <c r="G9" i="7"/>
  <c r="G10" i="7"/>
  <c r="G11" i="7"/>
  <c r="G12" i="7"/>
  <c r="G6" i="7"/>
  <c r="D8" i="7"/>
  <c r="D11" i="7" s="1"/>
  <c r="C7" i="7"/>
  <c r="C6" i="7"/>
  <c r="J10" i="7" l="1"/>
  <c r="C8" i="7"/>
  <c r="C10" i="7" s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</calcChain>
</file>

<file path=xl/sharedStrings.xml><?xml version="1.0" encoding="utf-8"?>
<sst xmlns="http://schemas.openxmlformats.org/spreadsheetml/2006/main" count="172" uniqueCount="93">
  <si>
    <t>Сумма ежемес. выплат</t>
  </si>
  <si>
    <t>Общая сумма выплат</t>
  </si>
  <si>
    <t>Переплата</t>
  </si>
  <si>
    <t>Простой кредитный калькулятор</t>
  </si>
  <si>
    <t>Показатель</t>
  </si>
  <si>
    <t>Значение</t>
  </si>
  <si>
    <t>Сумма кредита, руб</t>
  </si>
  <si>
    <t>Годовая ставка, %</t>
  </si>
  <si>
    <t>Срок кредита, мес</t>
  </si>
  <si>
    <t>=ПЛТ(C5/12;C6;C4)</t>
  </si>
  <si>
    <t>=C8*C6</t>
  </si>
  <si>
    <t>=C9+C4</t>
  </si>
  <si>
    <t>Keycode</t>
  </si>
  <si>
    <t>Ascii</t>
  </si>
  <si>
    <t>Любимая еда</t>
  </si>
  <si>
    <t>Любимый напиток</t>
  </si>
  <si>
    <t>Цветовая шкала, управляемая Spin Button</t>
  </si>
  <si>
    <t>Место</t>
  </si>
  <si>
    <t>Название фильма</t>
  </si>
  <si>
    <t>Год</t>
  </si>
  <si>
    <t>Режиссёр</t>
  </si>
  <si>
    <t>Жанр по версии IMDb</t>
  </si>
  <si>
    <t>Побег из Шоушенка</t>
  </si>
  <si>
    <t>Фрэнк Дарабонт</t>
  </si>
  <si>
    <t>драма</t>
  </si>
  <si>
    <t>Крёстный отец</t>
  </si>
  <si>
    <t>Фрэнсис Форд Коппола</t>
  </si>
  <si>
    <t>детектив, драма</t>
  </si>
  <si>
    <t>Крёстный отец 2</t>
  </si>
  <si>
    <t>Тёмный рыцарь</t>
  </si>
  <si>
    <t>Кристофер Нолан</t>
  </si>
  <si>
    <t>боевик, детектив, драма</t>
  </si>
  <si>
    <t>12 разгневанных мужчин</t>
  </si>
  <si>
    <t>Сидни Люмет</t>
  </si>
  <si>
    <t>драма, детектив</t>
  </si>
  <si>
    <t>Список Шиндлера</t>
  </si>
  <si>
    <t>Стивен Спилберг</t>
  </si>
  <si>
    <t>драма, биография, исторический фильм</t>
  </si>
  <si>
    <t>Властелин колец: Возвращение короля</t>
  </si>
  <si>
    <t>Питер Джексон</t>
  </si>
  <si>
    <t>фэнтези, приключение, боевик</t>
  </si>
  <si>
    <t>Криминальное чтиво</t>
  </si>
  <si>
    <t>Квентин Тарантино</t>
  </si>
  <si>
    <t>Хороший, плохой, злой</t>
  </si>
  <si>
    <t>Серджо Леоне</t>
  </si>
  <si>
    <t>приключение, вестерн</t>
  </si>
  <si>
    <t>Властелин колец: Братство Кольца</t>
  </si>
  <si>
    <t>Бойцовский клуб</t>
  </si>
  <si>
    <t>Дэвид Финчер</t>
  </si>
  <si>
    <t>драма, триллер, мистический фильм</t>
  </si>
  <si>
    <t>Форрест Гамп</t>
  </si>
  <si>
    <t>Роберт Земекис</t>
  </si>
  <si>
    <t>драма, мелодрама</t>
  </si>
  <si>
    <t>Начало</t>
  </si>
  <si>
    <t>боевик, мистический фильм, научная фантастика</t>
  </si>
  <si>
    <t>Властелин колец: Две крепости</t>
  </si>
  <si>
    <t>Звёздные войны. Эпизод V: Империя наносит ответный удар</t>
  </si>
  <si>
    <t>Ирвин Кершнер</t>
  </si>
  <si>
    <t>научная фантастика, приключение, боевик</t>
  </si>
  <si>
    <t>Матрица</t>
  </si>
  <si>
    <t>Энди и Ларри Вачовски</t>
  </si>
  <si>
    <t>научная фантастика, боевик, приключение</t>
  </si>
  <si>
    <t>Славные парни</t>
  </si>
  <si>
    <t>Мартин Скорсезе</t>
  </si>
  <si>
    <t>детектив, триллер, драма</t>
  </si>
  <si>
    <t>Пролетая над гнездом кукушки</t>
  </si>
  <si>
    <t>Милош Форман</t>
  </si>
  <si>
    <t>Семь самураев</t>
  </si>
  <si>
    <t>Акира Куросава</t>
  </si>
  <si>
    <t>приключение, драма</t>
  </si>
  <si>
    <t>Семь</t>
  </si>
  <si>
    <t>детектив, драма, мистический фильм</t>
  </si>
  <si>
    <t>20 лучших фильмов по версии IMDb</t>
  </si>
  <si>
    <t>Жизнь прекрасна</t>
  </si>
  <si>
    <t>Роберто Бениньи</t>
  </si>
  <si>
    <t>драма, мелодрама, военный фильм</t>
  </si>
  <si>
    <t>Властелин колец: Возвращение короля áűë ńîçäŕí â 2003 ăîäó</t>
  </si>
  <si>
    <t>Revenue (Выручка)</t>
  </si>
  <si>
    <t>Variable Expences (Переменные затраты)</t>
  </si>
  <si>
    <t>Fixed Expences (Фиксированные затраты)</t>
  </si>
  <si>
    <t>Break-even in Units (Объем безубыточности)</t>
  </si>
  <si>
    <t>Units</t>
  </si>
  <si>
    <t>Total</t>
  </si>
  <si>
    <t>Contribution Margin (Маржинальная прибыль)</t>
  </si>
  <si>
    <t>Units
Количество</t>
  </si>
  <si>
    <t>Profit (Прибыль)</t>
  </si>
  <si>
    <t>Revenue
Выручка</t>
  </si>
  <si>
    <t>Fixed
Фиксированные</t>
  </si>
  <si>
    <t>Total Expences
Общие затраты</t>
  </si>
  <si>
    <t>Profit
Прибыль</t>
  </si>
  <si>
    <t>Unit Sold (Объем продаж):</t>
  </si>
  <si>
    <t>Price (Стоимость):</t>
  </si>
  <si>
    <t>Cost - Volume - Profit (CVP)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</si>
</sst>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₽&quot;;[Red]\-#,##0.00\ &quot;₽&quot;"/>
    <numFmt numFmtId="164" formatCode="#,##0.00\ &quot;₽&quot;"/>
    <numFmt numFmtId="165" formatCode="_-* #,##0.00\ [$₽-419]_-;\-* #,##0.00\ [$₽-419]_-;_-* &quot;-&quot;??\ [$₽-419]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 tint="0.24994659260841701"/>
      <name val="Calibri"/>
      <family val="2"/>
      <scheme val="minor"/>
    </font>
    <font>
      <sz val="18"/>
      <color theme="9" tint="-0.499984740745262"/>
      <name val="Arial"/>
      <family val="2"/>
      <charset val="204"/>
    </font>
    <font>
      <sz val="11"/>
      <color theme="1"/>
      <name val="Arial"/>
      <family val="2"/>
      <charset val="204"/>
    </font>
    <font>
      <b/>
      <sz val="11"/>
      <color theme="0"/>
      <name val="Arial"/>
      <family val="2"/>
      <charset val="204"/>
    </font>
    <font>
      <sz val="11"/>
      <color theme="0"/>
      <name val="Calibri"/>
      <family val="2"/>
      <scheme val="minor"/>
    </font>
    <font>
      <sz val="16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b/>
      <i/>
      <sz val="11"/>
      <color theme="0"/>
      <name val="Calibri"/>
      <family val="2"/>
      <charset val="238"/>
      <scheme val="minor"/>
    </font>
    <font>
      <i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9">
    <xf numFmtId="0" fontId="0" fillId="0" borderId="0"/>
    <xf numFmtId="164" fontId="2" fillId="3" borderId="0" applyFont="0" applyFill="0" applyBorder="0" applyAlignment="0" applyProtection="0"/>
    <xf numFmtId="1" fontId="2" fillId="2" borderId="0" applyFont="0" applyFill="0" applyBorder="0" applyAlignment="0"/>
    <xf numFmtId="14" fontId="2" fillId="0" borderId="0" applyFont="0" applyFill="0" applyBorder="0" applyAlignment="0"/>
    <xf numFmtId="0" fontId="11" fillId="0" borderId="0" applyNumberFormat="0" applyFill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</cellStyleXfs>
  <cellXfs count="41">
    <xf numFmtId="0" fontId="0" fillId="0" borderId="0" xfId="0"/>
    <xf numFmtId="0" fontId="3" fillId="0" borderId="0" xfId="0" applyFont="1"/>
    <xf numFmtId="0" fontId="4" fillId="0" borderId="0" xfId="0" applyFont="1"/>
    <xf numFmtId="0" fontId="5" fillId="4" borderId="1" xfId="0" applyFont="1" applyFill="1" applyBorder="1"/>
    <xf numFmtId="0" fontId="5" fillId="4" borderId="1" xfId="0" applyFont="1" applyFill="1" applyBorder="1" applyAlignment="1">
      <alignment horizontal="center"/>
    </xf>
    <xf numFmtId="0" fontId="4" fillId="0" borderId="1" xfId="0" applyFont="1" applyBorder="1"/>
    <xf numFmtId="9" fontId="4" fillId="0" borderId="1" xfId="0" applyNumberFormat="1" applyFont="1" applyBorder="1"/>
    <xf numFmtId="8" fontId="4" fillId="0" borderId="1" xfId="0" applyNumberFormat="1" applyFont="1" applyBorder="1"/>
    <xf numFmtId="165" fontId="4" fillId="0" borderId="1" xfId="0" applyNumberFormat="1" applyFont="1" applyBorder="1"/>
    <xf numFmtId="0" fontId="0" fillId="0" borderId="0" xfId="0" quotePrefix="1"/>
    <xf numFmtId="8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5" borderId="0" xfId="0" applyFill="1"/>
    <xf numFmtId="0" fontId="7" fillId="5" borderId="0" xfId="0" applyFont="1" applyFill="1"/>
    <xf numFmtId="0" fontId="0" fillId="5" borderId="0" xfId="0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9" fillId="0" borderId="0" xfId="0" applyFont="1"/>
    <xf numFmtId="0" fontId="8" fillId="6" borderId="5" xfId="0" applyFont="1" applyFill="1" applyBorder="1"/>
    <xf numFmtId="0" fontId="8" fillId="6" borderId="6" xfId="0" applyFont="1" applyFill="1" applyBorder="1"/>
    <xf numFmtId="0" fontId="8" fillId="6" borderId="7" xfId="0" applyFont="1" applyFill="1" applyBorder="1"/>
    <xf numFmtId="0" fontId="0" fillId="7" borderId="5" xfId="0" applyFont="1" applyFill="1" applyBorder="1"/>
    <xf numFmtId="0" fontId="0" fillId="7" borderId="6" xfId="0" applyFont="1" applyFill="1" applyBorder="1"/>
    <xf numFmtId="0" fontId="0" fillId="7" borderId="7" xfId="0" applyFont="1" applyFill="1" applyBorder="1"/>
    <xf numFmtId="0" fontId="0" fillId="0" borderId="5" xfId="0" applyFont="1" applyBorder="1"/>
    <xf numFmtId="0" fontId="0" fillId="0" borderId="6" xfId="0" applyFont="1" applyBorder="1"/>
    <xf numFmtId="0" fontId="0" fillId="0" borderId="7" xfId="0" applyFont="1" applyBorder="1"/>
    <xf numFmtId="0" fontId="10" fillId="0" borderId="0" xfId="0" applyFont="1" applyAlignment="1">
      <alignment horizontal="center" wrapText="1"/>
    </xf>
    <xf numFmtId="0" fontId="11" fillId="0" borderId="0" xfId="4"/>
    <xf numFmtId="0" fontId="14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0" fillId="0" borderId="0" xfId="0" applyFont="1"/>
    <xf numFmtId="0" fontId="1" fillId="11" borderId="8" xfId="8" applyBorder="1" applyAlignment="1">
      <alignment horizontal="center"/>
    </xf>
    <xf numFmtId="0" fontId="12" fillId="9" borderId="8" xfId="6" applyBorder="1" applyAlignment="1">
      <alignment horizontal="center"/>
    </xf>
    <xf numFmtId="1" fontId="12" fillId="9" borderId="8" xfId="6" applyNumberFormat="1" applyBorder="1" applyAlignment="1">
      <alignment horizontal="center"/>
    </xf>
    <xf numFmtId="0" fontId="15" fillId="12" borderId="8" xfId="5" applyFont="1" applyFill="1" applyBorder="1" applyAlignment="1">
      <alignment vertical="center"/>
    </xf>
    <xf numFmtId="0" fontId="15" fillId="12" borderId="8" xfId="5" applyFont="1" applyFill="1" applyBorder="1" applyAlignment="1">
      <alignment horizontal="center" vertical="center"/>
    </xf>
    <xf numFmtId="0" fontId="13" fillId="10" borderId="8" xfId="7" applyFont="1" applyBorder="1"/>
    <xf numFmtId="0" fontId="16" fillId="9" borderId="8" xfId="6" applyFont="1" applyBorder="1"/>
  </cellXfs>
  <cellStyles count="9">
    <cellStyle name="40% — акцент3" xfId="7" builtinId="39"/>
    <cellStyle name="60% — акцент3" xfId="8" builtinId="40"/>
    <cellStyle name="Акцент1" xfId="5" builtinId="29"/>
    <cellStyle name="Акцент2" xfId="6" builtinId="33"/>
    <cellStyle name="Гиперссылка" xfId="4" builtinId="8"/>
    <cellStyle name="Дата" xfId="3" xr:uid="{00000000-0005-0000-0000-000006000000}"/>
    <cellStyle name="Количество" xfId="2" xr:uid="{00000000-0005-0000-0000-000007000000}"/>
    <cellStyle name="Обычный" xfId="0" builtinId="0"/>
    <cellStyle name="Сумма" xfId="1" xr:uid="{00000000-0005-0000-0000-000008000000}"/>
  </cellStyles>
  <dxfs count="3">
    <dxf>
      <font>
        <color rgb="FFFF0000"/>
      </font>
      <fill>
        <patternFill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rgb="FFFFFF00"/>
      </font>
      <fill>
        <patternFill>
          <bgColor rgb="FFFFFF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rgb="FF00B050"/>
      </font>
      <fill>
        <patternFill>
          <bgColor rgb="FF00B05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colors>
    <mruColors>
      <color rgb="FF6D97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ScrollBar!$B$5</c:f>
          <c:strCache>
            <c:ptCount val="1"/>
            <c:pt idx="0">
              <c:v>Cost - Volume - Profit (CVP) Analysis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33403526315015519"/>
          <c:y val="0.32796405657626132"/>
          <c:w val="0.64028572268870498"/>
          <c:h val="0.56463655584718575"/>
        </c:manualLayout>
      </c:layout>
      <c:lineChart>
        <c:grouping val="standard"/>
        <c:varyColors val="0"/>
        <c:ser>
          <c:idx val="0"/>
          <c:order val="0"/>
          <c:tx>
            <c:strRef>
              <c:f>ScrollBar!$G$5</c:f>
              <c:strCache>
                <c:ptCount val="1"/>
                <c:pt idx="0">
                  <c:v>Revenue
Выручка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ScrollBar!$F$6:$F$12</c:f>
              <c:numCache>
                <c:formatCode>General</c:formatCode>
                <c:ptCount val="7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</c:numCache>
            </c:numRef>
          </c:cat>
          <c:val>
            <c:numRef>
              <c:f>ScrollBar!$G$6:$G$12</c:f>
              <c:numCache>
                <c:formatCode>General</c:formatCode>
                <c:ptCount val="7"/>
                <c:pt idx="0">
                  <c:v>2000</c:v>
                </c:pt>
                <c:pt idx="1">
                  <c:v>3000</c:v>
                </c:pt>
                <c:pt idx="2">
                  <c:v>4000</c:v>
                </c:pt>
                <c:pt idx="3">
                  <c:v>5000</c:v>
                </c:pt>
                <c:pt idx="4">
                  <c:v>6000</c:v>
                </c:pt>
                <c:pt idx="5">
                  <c:v>7000</c:v>
                </c:pt>
                <c:pt idx="6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14-4EF3-8A52-70854C2B8B36}"/>
            </c:ext>
          </c:extLst>
        </c:ser>
        <c:ser>
          <c:idx val="1"/>
          <c:order val="1"/>
          <c:tx>
            <c:strRef>
              <c:f>ScrollBar!$H$5</c:f>
              <c:strCache>
                <c:ptCount val="1"/>
                <c:pt idx="0">
                  <c:v>Fixed
Фиксированные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ScrollBar!$F$6:$F$12</c:f>
              <c:numCache>
                <c:formatCode>General</c:formatCode>
                <c:ptCount val="7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</c:numCache>
            </c:numRef>
          </c:cat>
          <c:val>
            <c:numRef>
              <c:f>ScrollBar!$H$6:$H$12</c:f>
              <c:numCache>
                <c:formatCode>General</c:formatCode>
                <c:ptCount val="7"/>
                <c:pt idx="0">
                  <c:v>1757</c:v>
                </c:pt>
                <c:pt idx="1">
                  <c:v>1757</c:v>
                </c:pt>
                <c:pt idx="2">
                  <c:v>1757</c:v>
                </c:pt>
                <c:pt idx="3">
                  <c:v>1757</c:v>
                </c:pt>
                <c:pt idx="4">
                  <c:v>1757</c:v>
                </c:pt>
                <c:pt idx="5">
                  <c:v>1757</c:v>
                </c:pt>
                <c:pt idx="6">
                  <c:v>1757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14-4EF3-8A52-70854C2B8B36}"/>
            </c:ext>
          </c:extLst>
        </c:ser>
        <c:ser>
          <c:idx val="2"/>
          <c:order val="2"/>
          <c:tx>
            <c:strRef>
              <c:f>ScrollBar!$I$5</c:f>
              <c:strCache>
                <c:ptCount val="1"/>
                <c:pt idx="0">
                  <c:v>Total Expences
Общие затраты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ScrollBar!$F$6:$F$12</c:f>
              <c:numCache>
                <c:formatCode>General</c:formatCode>
                <c:ptCount val="7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</c:numCache>
            </c:numRef>
          </c:cat>
          <c:val>
            <c:numRef>
              <c:f>ScrollBar!$I$6:$I$12</c:f>
              <c:numCache>
                <c:formatCode>General</c:formatCode>
                <c:ptCount val="7"/>
                <c:pt idx="0">
                  <c:v>2937</c:v>
                </c:pt>
                <c:pt idx="1">
                  <c:v>3527</c:v>
                </c:pt>
                <c:pt idx="2">
                  <c:v>4117</c:v>
                </c:pt>
                <c:pt idx="3">
                  <c:v>4707</c:v>
                </c:pt>
                <c:pt idx="4">
                  <c:v>5297</c:v>
                </c:pt>
                <c:pt idx="5">
                  <c:v>5887</c:v>
                </c:pt>
                <c:pt idx="6">
                  <c:v>6477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14-4EF3-8A52-70854C2B8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4298640"/>
        <c:axId val="1024307496"/>
      </c:lineChart>
      <c:catAx>
        <c:axId val="10242986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307496"/>
        <c:crosses val="autoZero"/>
        <c:auto val="1"/>
        <c:lblAlgn val="ctr"/>
        <c:lblOffset val="100"/>
        <c:noMultiLvlLbl val="0"/>
      </c:catAx>
      <c:valAx>
        <c:axId val="102430749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29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1011058335661662"/>
          <c:y val="0.14856481481481484"/>
          <c:w val="0.63190006323250447"/>
          <c:h val="0.12847331583552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3</xdr:row>
          <xdr:rowOff>171450</xdr:rowOff>
        </xdr:from>
        <xdr:to>
          <xdr:col>3</xdr:col>
          <xdr:colOff>514350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3</xdr:row>
          <xdr:rowOff>161925</xdr:rowOff>
        </xdr:from>
        <xdr:to>
          <xdr:col>6</xdr:col>
          <xdr:colOff>133350</xdr:colOff>
          <xdr:row>7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</xdr:row>
          <xdr:rowOff>161925</xdr:rowOff>
        </xdr:from>
        <xdr:to>
          <xdr:col>5</xdr:col>
          <xdr:colOff>314325</xdr:colOff>
          <xdr:row>4</xdr:row>
          <xdr:rowOff>19050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</xdr:row>
          <xdr:rowOff>47625</xdr:rowOff>
        </xdr:from>
        <xdr:to>
          <xdr:col>5</xdr:col>
          <xdr:colOff>228600</xdr:colOff>
          <xdr:row>3</xdr:row>
          <xdr:rowOff>152400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4</xdr:row>
          <xdr:rowOff>123825</xdr:rowOff>
        </xdr:from>
        <xdr:to>
          <xdr:col>7</xdr:col>
          <xdr:colOff>9525</xdr:colOff>
          <xdr:row>5</xdr:row>
          <xdr:rowOff>171450</xdr:rowOff>
        </xdr:to>
        <xdr:sp macro="" textlink="">
          <xdr:nvSpPr>
            <xdr:cNvPr id="2052" name="CheckBox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3</xdr:row>
          <xdr:rowOff>0</xdr:rowOff>
        </xdr:from>
        <xdr:to>
          <xdr:col>4</xdr:col>
          <xdr:colOff>257175</xdr:colOff>
          <xdr:row>4</xdr:row>
          <xdr:rowOff>76200</xdr:rowOff>
        </xdr:to>
        <xdr:sp macro="" textlink="">
          <xdr:nvSpPr>
            <xdr:cNvPr id="3075" name="obYabloki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4</xdr:row>
          <xdr:rowOff>133350</xdr:rowOff>
        </xdr:from>
        <xdr:to>
          <xdr:col>4</xdr:col>
          <xdr:colOff>257175</xdr:colOff>
          <xdr:row>6</xdr:row>
          <xdr:rowOff>19050</xdr:rowOff>
        </xdr:to>
        <xdr:sp macro="" textlink="">
          <xdr:nvSpPr>
            <xdr:cNvPr id="3076" name="obChipsi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6</xdr:row>
          <xdr:rowOff>76200</xdr:rowOff>
        </xdr:from>
        <xdr:to>
          <xdr:col>4</xdr:col>
          <xdr:colOff>257175</xdr:colOff>
          <xdr:row>7</xdr:row>
          <xdr:rowOff>152400</xdr:rowOff>
        </xdr:to>
        <xdr:sp macro="" textlink="">
          <xdr:nvSpPr>
            <xdr:cNvPr id="3077" name="obBulki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3</xdr:row>
          <xdr:rowOff>0</xdr:rowOff>
        </xdr:from>
        <xdr:to>
          <xdr:col>8</xdr:col>
          <xdr:colOff>200025</xdr:colOff>
          <xdr:row>4</xdr:row>
          <xdr:rowOff>76200</xdr:rowOff>
        </xdr:to>
        <xdr:sp macro="" textlink="">
          <xdr:nvSpPr>
            <xdr:cNvPr id="3078" name="obPivo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133350</xdr:rowOff>
        </xdr:from>
        <xdr:to>
          <xdr:col>8</xdr:col>
          <xdr:colOff>200025</xdr:colOff>
          <xdr:row>6</xdr:row>
          <xdr:rowOff>19050</xdr:rowOff>
        </xdr:to>
        <xdr:sp macro="" textlink="">
          <xdr:nvSpPr>
            <xdr:cNvPr id="3079" name="obLimonad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76200</xdr:rowOff>
        </xdr:from>
        <xdr:to>
          <xdr:col>8</xdr:col>
          <xdr:colOff>200025</xdr:colOff>
          <xdr:row>7</xdr:row>
          <xdr:rowOff>152400</xdr:rowOff>
        </xdr:to>
        <xdr:sp macro="" textlink="">
          <xdr:nvSpPr>
            <xdr:cNvPr id="3080" name="obSok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95250</xdr:rowOff>
        </xdr:from>
        <xdr:to>
          <xdr:col>6</xdr:col>
          <xdr:colOff>419100</xdr:colOff>
          <xdr:row>12</xdr:row>
          <xdr:rowOff>85725</xdr:rowOff>
        </xdr:to>
        <xdr:sp macro="" textlink="">
          <xdr:nvSpPr>
            <xdr:cNvPr id="3081" name="CommandButton1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15</xdr:row>
          <xdr:rowOff>85725</xdr:rowOff>
        </xdr:from>
        <xdr:to>
          <xdr:col>4</xdr:col>
          <xdr:colOff>504825</xdr:colOff>
          <xdr:row>19</xdr:row>
          <xdr:rowOff>95250</xdr:rowOff>
        </xdr:to>
        <xdr:sp macro="" textlink="">
          <xdr:nvSpPr>
            <xdr:cNvPr id="4097" name="Spin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198783</xdr:colOff>
      <xdr:row>3</xdr:row>
      <xdr:rowOff>173934</xdr:rowOff>
    </xdr:from>
    <xdr:to>
      <xdr:col>3</xdr:col>
      <xdr:colOff>24848</xdr:colOff>
      <xdr:row>24</xdr:row>
      <xdr:rowOff>33131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35326" y="1093304"/>
          <a:ext cx="654326" cy="2700131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4</xdr:row>
          <xdr:rowOff>9525</xdr:rowOff>
        </xdr:from>
        <xdr:to>
          <xdr:col>8</xdr:col>
          <xdr:colOff>219075</xdr:colOff>
          <xdr:row>13</xdr:row>
          <xdr:rowOff>57150</xdr:rowOff>
        </xdr:to>
        <xdr:sp macro="" textlink="">
          <xdr:nvSpPr>
            <xdr:cNvPr id="4098" name="lblPercent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3</xdr:row>
          <xdr:rowOff>47625</xdr:rowOff>
        </xdr:from>
        <xdr:to>
          <xdr:col>9</xdr:col>
          <xdr:colOff>581025</xdr:colOff>
          <xdr:row>4</xdr:row>
          <xdr:rowOff>180975</xdr:rowOff>
        </xdr:to>
        <xdr:sp macro="" textlink="">
          <xdr:nvSpPr>
            <xdr:cNvPr id="5121" name="Combo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6</xdr:row>
          <xdr:rowOff>180975</xdr:rowOff>
        </xdr:from>
        <xdr:to>
          <xdr:col>9</xdr:col>
          <xdr:colOff>561975</xdr:colOff>
          <xdr:row>8</xdr:row>
          <xdr:rowOff>114300</xdr:rowOff>
        </xdr:to>
        <xdr:sp macro="" textlink="">
          <xdr:nvSpPr>
            <xdr:cNvPr id="5122" name="cmbFilms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10</xdr:row>
          <xdr:rowOff>104775</xdr:rowOff>
        </xdr:from>
        <xdr:to>
          <xdr:col>8</xdr:col>
          <xdr:colOff>295275</xdr:colOff>
          <xdr:row>12</xdr:row>
          <xdr:rowOff>114300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3</xdr:row>
          <xdr:rowOff>114300</xdr:rowOff>
        </xdr:from>
        <xdr:to>
          <xdr:col>12</xdr:col>
          <xdr:colOff>180975</xdr:colOff>
          <xdr:row>14</xdr:row>
          <xdr:rowOff>180975</xdr:rowOff>
        </xdr:to>
        <xdr:sp macro="" textlink="">
          <xdr:nvSpPr>
            <xdr:cNvPr id="6148" name="ListBox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1066800</xdr:colOff>
          <xdr:row>24</xdr:row>
          <xdr:rowOff>152400</xdr:rowOff>
        </xdr:from>
        <xdr:to>
          <xdr:col>4</xdr:col>
          <xdr:colOff>3076575</xdr:colOff>
          <xdr:row>27</xdr:row>
          <xdr:rowOff>9525</xdr:rowOff>
        </xdr:to>
        <xdr:sp macro="" textlink="">
          <xdr:nvSpPr>
            <xdr:cNvPr id="6149" name="CommandButton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417635</xdr:colOff>
      <xdr:row>2</xdr:row>
      <xdr:rowOff>24179</xdr:rowOff>
    </xdr:from>
    <xdr:to>
      <xdr:col>10</xdr:col>
      <xdr:colOff>318721</xdr:colOff>
      <xdr:row>15</xdr:row>
      <xdr:rowOff>41764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</xdr:row>
          <xdr:rowOff>104775</xdr:rowOff>
        </xdr:from>
        <xdr:to>
          <xdr:col>5</xdr:col>
          <xdr:colOff>257175</xdr:colOff>
          <xdr:row>14</xdr:row>
          <xdr:rowOff>142875</xdr:rowOff>
        </xdr:to>
        <xdr:sp macro="" textlink="">
          <xdr:nvSpPr>
            <xdr:cNvPr id="7171" name="ScrollBar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5</xdr:row>
          <xdr:rowOff>104775</xdr:rowOff>
        </xdr:from>
        <xdr:to>
          <xdr:col>5</xdr:col>
          <xdr:colOff>790575</xdr:colOff>
          <xdr:row>14</xdr:row>
          <xdr:rowOff>142875</xdr:rowOff>
        </xdr:to>
        <xdr:sp macro="" textlink="">
          <xdr:nvSpPr>
            <xdr:cNvPr id="7172" name="ScrollBar2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402982</xdr:colOff>
      <xdr:row>4</xdr:row>
      <xdr:rowOff>161192</xdr:rowOff>
    </xdr:from>
    <xdr:ext cx="695703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4696559" y="930519"/>
          <a:ext cx="6957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>
              <a:solidFill>
                <a:schemeClr val="bg1">
                  <a:lumMod val="65000"/>
                </a:schemeClr>
              </a:solidFill>
            </a:rPr>
            <a:t>Перем-е</a:t>
          </a:r>
          <a:endParaRPr lang="en-US" sz="1100">
            <a:solidFill>
              <a:schemeClr val="bg1">
                <a:lumMod val="65000"/>
              </a:schemeClr>
            </a:solidFill>
          </a:endParaRPr>
        </a:p>
      </xdr:txBody>
    </xdr:sp>
    <xdr:clientData/>
  </xdr:oneCellAnchor>
  <xdr:oneCellAnchor>
    <xdr:from>
      <xdr:col>5</xdr:col>
      <xdr:colOff>408843</xdr:colOff>
      <xdr:row>4</xdr:row>
      <xdr:rowOff>167053</xdr:rowOff>
    </xdr:from>
    <xdr:ext cx="574388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5310555" y="936380"/>
          <a:ext cx="5743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>
              <a:solidFill>
                <a:schemeClr val="bg1">
                  <a:lumMod val="65000"/>
                </a:schemeClr>
              </a:solidFill>
            </a:rPr>
            <a:t>Пост-е</a:t>
          </a:r>
          <a:endParaRPr lang="en-US" sz="1100">
            <a:solidFill>
              <a:schemeClr val="bg1">
                <a:lumMod val="65000"/>
              </a:schemeClr>
            </a:solidFill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0</xdr:row>
          <xdr:rowOff>142875</xdr:rowOff>
        </xdr:from>
        <xdr:to>
          <xdr:col>8</xdr:col>
          <xdr:colOff>428625</xdr:colOff>
          <xdr:row>6</xdr:row>
          <xdr:rowOff>47625</xdr:rowOff>
        </xdr:to>
        <xdr:sp macro="" textlink="">
          <xdr:nvSpPr>
            <xdr:cNvPr id="8193" name="Image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2</xdr:row>
          <xdr:rowOff>123825</xdr:rowOff>
        </xdr:from>
        <xdr:to>
          <xdr:col>13</xdr:col>
          <xdr:colOff>590550</xdr:colOff>
          <xdr:row>5</xdr:row>
          <xdr:rowOff>95250</xdr:rowOff>
        </xdr:to>
        <xdr:sp macro="" textlink="">
          <xdr:nvSpPr>
            <xdr:cNvPr id="8194" name="Toggle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0.xml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2" Type="http://schemas.openxmlformats.org/officeDocument/2006/relationships/vmlDrawing" Target="../drawings/vmlDrawing3.vml"/><Relationship Id="rId16" Type="http://schemas.openxmlformats.org/officeDocument/2006/relationships/image" Target="../media/image11.emf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5" Type="http://schemas.openxmlformats.org/officeDocument/2006/relationships/control" Target="../activeX/activeX11.xml"/><Relationship Id="rId10" Type="http://schemas.openxmlformats.org/officeDocument/2006/relationships/image" Target="../media/image8.emf"/><Relationship Id="rId4" Type="http://schemas.openxmlformats.org/officeDocument/2006/relationships/image" Target="../media/image5.emf"/><Relationship Id="rId9" Type="http://schemas.openxmlformats.org/officeDocument/2006/relationships/control" Target="../activeX/activeX8.xml"/><Relationship Id="rId14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control" Target="../activeX/activeX14.xml"/><Relationship Id="rId7" Type="http://schemas.openxmlformats.org/officeDocument/2006/relationships/control" Target="../activeX/activeX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0.emf"/><Relationship Id="rId5" Type="http://schemas.openxmlformats.org/officeDocument/2006/relationships/control" Target="../activeX/activeX20.xml"/><Relationship Id="rId4" Type="http://schemas.openxmlformats.org/officeDocument/2006/relationships/image" Target="../media/image1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2.emf"/><Relationship Id="rId5" Type="http://schemas.openxmlformats.org/officeDocument/2006/relationships/control" Target="../activeX/activeX22.xml"/><Relationship Id="rId4" Type="http://schemas.openxmlformats.org/officeDocument/2006/relationships/image" Target="../media/image2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"/>
  <sheetViews>
    <sheetView workbookViewId="0">
      <selection activeCell="H7" sqref="H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4</xdr:col>
                <xdr:colOff>247650</xdr:colOff>
                <xdr:row>3</xdr:row>
                <xdr:rowOff>161925</xdr:rowOff>
              </from>
              <to>
                <xdr:col>6</xdr:col>
                <xdr:colOff>133350</xdr:colOff>
                <xdr:row>7</xdr:row>
                <xdr:rowOff>28575</xdr:rowOff>
              </to>
            </anchor>
          </controlPr>
        </control>
      </mc:Choice>
      <mc:Fallback>
        <control shapeId="1028" r:id="rId4" name="CommandButton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>
            <anchor moveWithCells="1">
              <from>
                <xdr:col>1</xdr:col>
                <xdr:colOff>571500</xdr:colOff>
                <xdr:row>3</xdr:row>
                <xdr:rowOff>171450</xdr:rowOff>
              </from>
              <to>
                <xdr:col>3</xdr:col>
                <xdr:colOff>514350</xdr:colOff>
                <xdr:row>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15"/>
  <sheetViews>
    <sheetView showGridLines="0" zoomScale="160" zoomScaleNormal="160" workbookViewId="0">
      <selection activeCell="D18" sqref="D18"/>
    </sheetView>
  </sheetViews>
  <sheetFormatPr defaultRowHeight="15" x14ac:dyDescent="0.25"/>
  <cols>
    <col min="1" max="1" width="3" customWidth="1"/>
    <col min="2" max="2" width="28.28515625" customWidth="1"/>
    <col min="3" max="3" width="14.5703125" bestFit="1" customWidth="1"/>
  </cols>
  <sheetData>
    <row r="1" spans="1:11" ht="23.25" x14ac:dyDescent="0.35">
      <c r="A1" s="1" t="s">
        <v>3</v>
      </c>
      <c r="B1" s="2"/>
      <c r="C1" s="2"/>
      <c r="E1" t="b">
        <v>1</v>
      </c>
      <c r="G1" t="s">
        <v>12</v>
      </c>
      <c r="H1">
        <v>18</v>
      </c>
      <c r="I1">
        <v>4</v>
      </c>
      <c r="K1">
        <v>1</v>
      </c>
    </row>
    <row r="2" spans="1:11" ht="15" customHeight="1" x14ac:dyDescent="0.35">
      <c r="A2" s="1"/>
      <c r="B2" s="2"/>
      <c r="C2" s="2"/>
      <c r="G2" t="s">
        <v>13</v>
      </c>
      <c r="H2">
        <v>27</v>
      </c>
      <c r="K2">
        <v>0</v>
      </c>
    </row>
    <row r="3" spans="1:11" x14ac:dyDescent="0.25">
      <c r="A3" s="2"/>
      <c r="B3" s="3" t="s">
        <v>4</v>
      </c>
      <c r="C3" s="4" t="s">
        <v>5</v>
      </c>
      <c r="K3">
        <v>18.450000762939453</v>
      </c>
    </row>
    <row r="4" spans="1:11" x14ac:dyDescent="0.25">
      <c r="A4" s="2"/>
      <c r="B4" s="5" t="s">
        <v>6</v>
      </c>
      <c r="C4" s="8">
        <v>300000</v>
      </c>
      <c r="K4">
        <v>11.149999618530273</v>
      </c>
    </row>
    <row r="5" spans="1:11" x14ac:dyDescent="0.25">
      <c r="A5" s="2"/>
      <c r="B5" s="5" t="s">
        <v>7</v>
      </c>
      <c r="C5" s="6">
        <v>0.17</v>
      </c>
    </row>
    <row r="6" spans="1:11" x14ac:dyDescent="0.25">
      <c r="A6" s="2"/>
      <c r="B6" s="5" t="s">
        <v>8</v>
      </c>
      <c r="C6" s="5">
        <v>24</v>
      </c>
    </row>
    <row r="7" spans="1:11" ht="6.75" customHeight="1" x14ac:dyDescent="0.25">
      <c r="A7" s="2"/>
      <c r="B7" s="2"/>
      <c r="C7" s="2"/>
    </row>
    <row r="8" spans="1:11" x14ac:dyDescent="0.25">
      <c r="A8" s="2"/>
      <c r="B8" s="5" t="s">
        <v>0</v>
      </c>
      <c r="C8" s="7">
        <v>-14625.484856843697</v>
      </c>
      <c r="E8" s="9" t="s">
        <v>9</v>
      </c>
    </row>
    <row r="9" spans="1:11" x14ac:dyDescent="0.25">
      <c r="A9" s="2"/>
      <c r="B9" s="5" t="s">
        <v>1</v>
      </c>
      <c r="C9" s="7">
        <v>-351011.63760000002</v>
      </c>
      <c r="E9" s="9" t="s">
        <v>10</v>
      </c>
    </row>
    <row r="10" spans="1:11" x14ac:dyDescent="0.25">
      <c r="A10" s="2"/>
      <c r="B10" s="5" t="s">
        <v>2</v>
      </c>
      <c r="C10" s="7">
        <v>-51011.64</v>
      </c>
      <c r="E10" s="9" t="s">
        <v>11</v>
      </c>
    </row>
    <row r="13" spans="1:11" x14ac:dyDescent="0.25">
      <c r="C13" s="10"/>
    </row>
    <row r="14" spans="1:11" x14ac:dyDescent="0.25">
      <c r="C14" s="10"/>
    </row>
    <row r="15" spans="1:11" x14ac:dyDescent="0.25">
      <c r="C15" s="1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2" r:id="rId3" name="CheckBox1">
          <controlPr defaultSize="0" autoLine="0" autoPict="0" linkedCell="E1" r:id="rId4">
            <anchor moveWithCells="1">
              <from>
                <xdr:col>3</xdr:col>
                <xdr:colOff>485775</xdr:colOff>
                <xdr:row>4</xdr:row>
                <xdr:rowOff>123825</xdr:rowOff>
              </from>
              <to>
                <xdr:col>7</xdr:col>
                <xdr:colOff>9525</xdr:colOff>
                <xdr:row>5</xdr:row>
                <xdr:rowOff>171450</xdr:rowOff>
              </to>
            </anchor>
          </controlPr>
        </control>
      </mc:Choice>
      <mc:Fallback>
        <control shapeId="2052" r:id="rId3" name="CheckBox1"/>
      </mc:Fallback>
    </mc:AlternateContent>
    <mc:AlternateContent xmlns:mc="http://schemas.openxmlformats.org/markup-compatibility/2006">
      <mc:Choice Requires="x14">
        <control shapeId="2051" r:id="rId5" name="Label1">
          <controlPr defaultSize="0" autoLine="0" r:id="rId6">
            <anchor moveWithCells="1">
              <from>
                <xdr:col>3</xdr:col>
                <xdr:colOff>390525</xdr:colOff>
                <xdr:row>1</xdr:row>
                <xdr:rowOff>161925</xdr:rowOff>
              </from>
              <to>
                <xdr:col>5</xdr:col>
                <xdr:colOff>314325</xdr:colOff>
                <xdr:row>4</xdr:row>
                <xdr:rowOff>19050</xdr:rowOff>
              </to>
            </anchor>
          </controlPr>
        </control>
      </mc:Choice>
      <mc:Fallback>
        <control shapeId="2051" r:id="rId5" name="Label1"/>
      </mc:Fallback>
    </mc:AlternateContent>
    <mc:AlternateContent xmlns:mc="http://schemas.openxmlformats.org/markup-compatibility/2006">
      <mc:Choice Requires="x14">
        <control shapeId="2050" r:id="rId7" name="CommandButton1">
          <controlPr defaultSize="0" autoLine="0" r:id="rId8">
            <anchor moveWithCells="1">
              <from>
                <xdr:col>3</xdr:col>
                <xdr:colOff>476250</xdr:colOff>
                <xdr:row>2</xdr:row>
                <xdr:rowOff>47625</xdr:rowOff>
              </from>
              <to>
                <xdr:col>5</xdr:col>
                <xdr:colOff>228600</xdr:colOff>
                <xdr:row>3</xdr:row>
                <xdr:rowOff>152400</xdr:rowOff>
              </to>
            </anchor>
          </controlPr>
        </control>
      </mc:Choice>
      <mc:Fallback>
        <control shapeId="2050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C3:G3"/>
  <sheetViews>
    <sheetView workbookViewId="0">
      <selection activeCell="K10" sqref="K10"/>
    </sheetView>
  </sheetViews>
  <sheetFormatPr defaultRowHeight="15" x14ac:dyDescent="0.25"/>
  <sheetData>
    <row r="3" spans="3:7" x14ac:dyDescent="0.25">
      <c r="C3" t="s">
        <v>14</v>
      </c>
      <c r="G3" t="s">
        <v>15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0" r:id="rId3" name="obSok">
          <controlPr defaultSize="0" autoLine="0" r:id="rId4">
            <anchor moveWithCells="1">
              <from>
                <xdr:col>6</xdr:col>
                <xdr:colOff>47625</xdr:colOff>
                <xdr:row>6</xdr:row>
                <xdr:rowOff>76200</xdr:rowOff>
              </from>
              <to>
                <xdr:col>8</xdr:col>
                <xdr:colOff>200025</xdr:colOff>
                <xdr:row>7</xdr:row>
                <xdr:rowOff>152400</xdr:rowOff>
              </to>
            </anchor>
          </controlPr>
        </control>
      </mc:Choice>
      <mc:Fallback>
        <control shapeId="3080" r:id="rId3" name="obSok"/>
      </mc:Fallback>
    </mc:AlternateContent>
    <mc:AlternateContent xmlns:mc="http://schemas.openxmlformats.org/markup-compatibility/2006">
      <mc:Choice Requires="x14">
        <control shapeId="3079" r:id="rId5" name="obLimonad">
          <controlPr defaultSize="0" autoLine="0" r:id="rId6">
            <anchor moveWithCells="1">
              <from>
                <xdr:col>6</xdr:col>
                <xdr:colOff>47625</xdr:colOff>
                <xdr:row>4</xdr:row>
                <xdr:rowOff>133350</xdr:rowOff>
              </from>
              <to>
                <xdr:col>8</xdr:col>
                <xdr:colOff>200025</xdr:colOff>
                <xdr:row>6</xdr:row>
                <xdr:rowOff>19050</xdr:rowOff>
              </to>
            </anchor>
          </controlPr>
        </control>
      </mc:Choice>
      <mc:Fallback>
        <control shapeId="3079" r:id="rId5" name="obLimonad"/>
      </mc:Fallback>
    </mc:AlternateContent>
    <mc:AlternateContent xmlns:mc="http://schemas.openxmlformats.org/markup-compatibility/2006">
      <mc:Choice Requires="x14">
        <control shapeId="3078" r:id="rId7" name="obPivo">
          <controlPr defaultSize="0" autoLine="0" r:id="rId8">
            <anchor moveWithCells="1">
              <from>
                <xdr:col>6</xdr:col>
                <xdr:colOff>47625</xdr:colOff>
                <xdr:row>3</xdr:row>
                <xdr:rowOff>0</xdr:rowOff>
              </from>
              <to>
                <xdr:col>8</xdr:col>
                <xdr:colOff>200025</xdr:colOff>
                <xdr:row>4</xdr:row>
                <xdr:rowOff>76200</xdr:rowOff>
              </to>
            </anchor>
          </controlPr>
        </control>
      </mc:Choice>
      <mc:Fallback>
        <control shapeId="3078" r:id="rId7" name="obPivo"/>
      </mc:Fallback>
    </mc:AlternateContent>
    <mc:AlternateContent xmlns:mc="http://schemas.openxmlformats.org/markup-compatibility/2006">
      <mc:Choice Requires="x14">
        <control shapeId="3077" r:id="rId9" name="obBulki">
          <controlPr defaultSize="0" autoLine="0" r:id="rId10">
            <anchor moveWithCells="1">
              <from>
                <xdr:col>2</xdr:col>
                <xdr:colOff>104775</xdr:colOff>
                <xdr:row>6</xdr:row>
                <xdr:rowOff>76200</xdr:rowOff>
              </from>
              <to>
                <xdr:col>4</xdr:col>
                <xdr:colOff>257175</xdr:colOff>
                <xdr:row>7</xdr:row>
                <xdr:rowOff>152400</xdr:rowOff>
              </to>
            </anchor>
          </controlPr>
        </control>
      </mc:Choice>
      <mc:Fallback>
        <control shapeId="3077" r:id="rId9" name="obBulki"/>
      </mc:Fallback>
    </mc:AlternateContent>
    <mc:AlternateContent xmlns:mc="http://schemas.openxmlformats.org/markup-compatibility/2006">
      <mc:Choice Requires="x14">
        <control shapeId="3076" r:id="rId11" name="obChipsi">
          <controlPr defaultSize="0" autoLine="0" r:id="rId12">
            <anchor moveWithCells="1">
              <from>
                <xdr:col>2</xdr:col>
                <xdr:colOff>104775</xdr:colOff>
                <xdr:row>4</xdr:row>
                <xdr:rowOff>133350</xdr:rowOff>
              </from>
              <to>
                <xdr:col>4</xdr:col>
                <xdr:colOff>257175</xdr:colOff>
                <xdr:row>6</xdr:row>
                <xdr:rowOff>19050</xdr:rowOff>
              </to>
            </anchor>
          </controlPr>
        </control>
      </mc:Choice>
      <mc:Fallback>
        <control shapeId="3076" r:id="rId11" name="obChipsi"/>
      </mc:Fallback>
    </mc:AlternateContent>
    <mc:AlternateContent xmlns:mc="http://schemas.openxmlformats.org/markup-compatibility/2006">
      <mc:Choice Requires="x14">
        <control shapeId="3075" r:id="rId13" name="obYabloki">
          <controlPr defaultSize="0" autoLine="0" r:id="rId14">
            <anchor moveWithCells="1">
              <from>
                <xdr:col>2</xdr:col>
                <xdr:colOff>104775</xdr:colOff>
                <xdr:row>3</xdr:row>
                <xdr:rowOff>0</xdr:rowOff>
              </from>
              <to>
                <xdr:col>4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3075" r:id="rId13" name="obYabloki"/>
      </mc:Fallback>
    </mc:AlternateContent>
    <mc:AlternateContent xmlns:mc="http://schemas.openxmlformats.org/markup-compatibility/2006">
      <mc:Choice Requires="x14">
        <control shapeId="3081" r:id="rId15" name="CommandButton1">
          <controlPr defaultSize="0" autoLine="0" r:id="rId16">
            <anchor moveWithCells="1">
              <from>
                <xdr:col>4</xdr:col>
                <xdr:colOff>152400</xdr:colOff>
                <xdr:row>10</xdr:row>
                <xdr:rowOff>95250</xdr:rowOff>
              </from>
              <to>
                <xdr:col>6</xdr:col>
                <xdr:colOff>419100</xdr:colOff>
                <xdr:row>12</xdr:row>
                <xdr:rowOff>85725</xdr:rowOff>
              </to>
            </anchor>
          </controlPr>
        </control>
      </mc:Choice>
      <mc:Fallback>
        <control shapeId="3081" r:id="rId1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I25"/>
  <sheetViews>
    <sheetView showGridLines="0" zoomScale="115" zoomScaleNormal="115" workbookViewId="0">
      <selection activeCell="O7" sqref="O7:O8"/>
    </sheetView>
  </sheetViews>
  <sheetFormatPr defaultRowHeight="15" x14ac:dyDescent="0.25"/>
  <cols>
    <col min="1" max="1" width="12.5703125" customWidth="1"/>
    <col min="2" max="2" width="3.28515625" customWidth="1"/>
  </cols>
  <sheetData>
    <row r="1" spans="1:9" ht="33" customHeight="1" x14ac:dyDescent="0.25">
      <c r="A1" s="11">
        <v>20</v>
      </c>
    </row>
    <row r="2" spans="1:9" ht="20.100000000000001" customHeight="1" x14ac:dyDescent="0.25">
      <c r="A2" s="11"/>
      <c r="B2" s="13"/>
      <c r="C2" s="13"/>
      <c r="D2" s="13"/>
      <c r="E2" s="13"/>
      <c r="F2" s="13"/>
      <c r="G2" s="13"/>
      <c r="H2" s="13"/>
      <c r="I2" s="13"/>
    </row>
    <row r="3" spans="1:9" ht="20.100000000000001" customHeight="1" x14ac:dyDescent="0.35">
      <c r="A3" s="11"/>
      <c r="B3" s="13"/>
      <c r="C3" s="14" t="s">
        <v>16</v>
      </c>
      <c r="D3" s="13"/>
      <c r="E3" s="13"/>
      <c r="F3" s="13"/>
      <c r="G3" s="13"/>
      <c r="H3" s="13"/>
      <c r="I3" s="13"/>
    </row>
    <row r="4" spans="1:9" ht="15" customHeight="1" x14ac:dyDescent="0.25">
      <c r="A4" s="11"/>
      <c r="B4" s="13"/>
      <c r="C4" s="13"/>
      <c r="D4" s="13"/>
      <c r="E4" s="13"/>
      <c r="F4" s="13"/>
      <c r="G4" s="13"/>
      <c r="H4" s="13"/>
      <c r="I4" s="13"/>
    </row>
    <row r="5" spans="1:9" ht="10.5" customHeight="1" x14ac:dyDescent="0.25">
      <c r="A5" s="12">
        <v>20</v>
      </c>
      <c r="B5" s="13"/>
      <c r="C5" s="15">
        <f t="shared" ref="C5:C24" si="0">IF($A$1&gt;=A5,1,"")</f>
        <v>1</v>
      </c>
      <c r="D5" s="13"/>
      <c r="E5" s="13"/>
      <c r="F5" s="13"/>
      <c r="G5" s="13"/>
      <c r="H5" s="13"/>
      <c r="I5" s="13"/>
    </row>
    <row r="6" spans="1:9" ht="10.5" customHeight="1" x14ac:dyDescent="0.25">
      <c r="A6" s="12">
        <v>19</v>
      </c>
      <c r="B6" s="13"/>
      <c r="C6" s="15">
        <f t="shared" si="0"/>
        <v>1</v>
      </c>
      <c r="D6" s="13"/>
      <c r="E6" s="13"/>
      <c r="F6" s="13"/>
      <c r="G6" s="13"/>
      <c r="H6" s="13"/>
      <c r="I6" s="13"/>
    </row>
    <row r="7" spans="1:9" ht="10.5" customHeight="1" x14ac:dyDescent="0.25">
      <c r="A7" s="12">
        <v>18</v>
      </c>
      <c r="B7" s="13"/>
      <c r="C7" s="15">
        <f t="shared" si="0"/>
        <v>1</v>
      </c>
      <c r="D7" s="13"/>
      <c r="E7" s="13"/>
      <c r="F7" s="13"/>
      <c r="G7" s="13"/>
      <c r="H7" s="13"/>
      <c r="I7" s="13"/>
    </row>
    <row r="8" spans="1:9" ht="10.5" customHeight="1" x14ac:dyDescent="0.25">
      <c r="A8" s="12">
        <v>17</v>
      </c>
      <c r="B8" s="13"/>
      <c r="C8" s="15">
        <f t="shared" si="0"/>
        <v>1</v>
      </c>
      <c r="D8" s="13"/>
      <c r="E8" s="13"/>
      <c r="F8" s="13"/>
      <c r="G8" s="13"/>
      <c r="H8" s="13"/>
      <c r="I8" s="13"/>
    </row>
    <row r="9" spans="1:9" ht="10.5" customHeight="1" x14ac:dyDescent="0.25">
      <c r="A9" s="12">
        <v>16</v>
      </c>
      <c r="B9" s="13"/>
      <c r="C9" s="15">
        <f t="shared" si="0"/>
        <v>1</v>
      </c>
      <c r="D9" s="13"/>
      <c r="E9" s="13"/>
      <c r="F9" s="13"/>
      <c r="G9" s="13"/>
      <c r="H9" s="13"/>
      <c r="I9" s="13"/>
    </row>
    <row r="10" spans="1:9" ht="10.5" customHeight="1" x14ac:dyDescent="0.25">
      <c r="A10" s="12">
        <v>15</v>
      </c>
      <c r="B10" s="13"/>
      <c r="C10" s="15">
        <f t="shared" si="0"/>
        <v>1</v>
      </c>
      <c r="D10" s="13"/>
      <c r="E10" s="13"/>
      <c r="F10" s="13"/>
      <c r="G10" s="13"/>
      <c r="H10" s="13"/>
      <c r="I10" s="13"/>
    </row>
    <row r="11" spans="1:9" ht="10.5" customHeight="1" x14ac:dyDescent="0.25">
      <c r="A11" s="12">
        <v>14</v>
      </c>
      <c r="B11" s="13"/>
      <c r="C11" s="15">
        <f t="shared" si="0"/>
        <v>1</v>
      </c>
      <c r="D11" s="13"/>
      <c r="E11" s="13"/>
      <c r="F11" s="13"/>
      <c r="G11" s="13"/>
      <c r="H11" s="13"/>
      <c r="I11" s="13"/>
    </row>
    <row r="12" spans="1:9" ht="10.5" customHeight="1" x14ac:dyDescent="0.25">
      <c r="A12" s="12">
        <v>13</v>
      </c>
      <c r="B12" s="13"/>
      <c r="C12" s="15">
        <f t="shared" si="0"/>
        <v>1</v>
      </c>
      <c r="D12" s="13"/>
      <c r="E12" s="13"/>
      <c r="F12" s="13"/>
      <c r="G12" s="13"/>
      <c r="H12" s="13"/>
      <c r="I12" s="13"/>
    </row>
    <row r="13" spans="1:9" ht="10.5" customHeight="1" x14ac:dyDescent="0.25">
      <c r="A13" s="12">
        <v>12</v>
      </c>
      <c r="B13" s="13"/>
      <c r="C13" s="15">
        <f t="shared" si="0"/>
        <v>1</v>
      </c>
      <c r="D13" s="13"/>
      <c r="E13" s="13"/>
      <c r="F13" s="13"/>
      <c r="G13" s="13"/>
      <c r="H13" s="13"/>
      <c r="I13" s="13"/>
    </row>
    <row r="14" spans="1:9" ht="10.5" customHeight="1" x14ac:dyDescent="0.25">
      <c r="A14" s="12">
        <v>11</v>
      </c>
      <c r="B14" s="13"/>
      <c r="C14" s="15">
        <f t="shared" si="0"/>
        <v>1</v>
      </c>
      <c r="D14" s="13"/>
      <c r="E14" s="13"/>
      <c r="F14" s="13"/>
      <c r="G14" s="13"/>
      <c r="H14" s="13"/>
      <c r="I14" s="13"/>
    </row>
    <row r="15" spans="1:9" ht="10.5" customHeight="1" x14ac:dyDescent="0.25">
      <c r="A15" s="12">
        <v>10</v>
      </c>
      <c r="B15" s="13"/>
      <c r="C15" s="15">
        <f t="shared" si="0"/>
        <v>1</v>
      </c>
      <c r="D15" s="13"/>
      <c r="E15" s="13"/>
      <c r="F15" s="13"/>
      <c r="G15" s="13"/>
      <c r="H15" s="13"/>
      <c r="I15" s="13"/>
    </row>
    <row r="16" spans="1:9" ht="10.5" customHeight="1" x14ac:dyDescent="0.25">
      <c r="A16" s="12">
        <v>9</v>
      </c>
      <c r="B16" s="13"/>
      <c r="C16" s="15">
        <f t="shared" si="0"/>
        <v>1</v>
      </c>
      <c r="D16" s="13"/>
      <c r="E16" s="13"/>
      <c r="F16" s="13"/>
      <c r="G16" s="13"/>
      <c r="H16" s="13"/>
      <c r="I16" s="13"/>
    </row>
    <row r="17" spans="1:9" ht="10.5" customHeight="1" x14ac:dyDescent="0.25">
      <c r="A17" s="12">
        <v>8</v>
      </c>
      <c r="B17" s="13"/>
      <c r="C17" s="15">
        <f t="shared" si="0"/>
        <v>1</v>
      </c>
      <c r="D17" s="13"/>
      <c r="E17" s="13"/>
      <c r="F17" s="13"/>
      <c r="G17" s="13"/>
      <c r="H17" s="13"/>
      <c r="I17" s="13"/>
    </row>
    <row r="18" spans="1:9" ht="10.5" customHeight="1" x14ac:dyDescent="0.25">
      <c r="A18" s="12">
        <v>7</v>
      </c>
      <c r="B18" s="13"/>
      <c r="C18" s="15">
        <f t="shared" si="0"/>
        <v>1</v>
      </c>
      <c r="D18" s="13"/>
      <c r="E18" s="13"/>
      <c r="F18" s="13"/>
      <c r="G18" s="13"/>
      <c r="H18" s="13"/>
      <c r="I18" s="13"/>
    </row>
    <row r="19" spans="1:9" ht="10.5" customHeight="1" x14ac:dyDescent="0.25">
      <c r="A19" s="12">
        <v>6</v>
      </c>
      <c r="B19" s="13"/>
      <c r="C19" s="15">
        <f t="shared" si="0"/>
        <v>1</v>
      </c>
      <c r="D19" s="13"/>
      <c r="E19" s="13"/>
      <c r="F19" s="13"/>
      <c r="G19" s="13"/>
      <c r="H19" s="13"/>
      <c r="I19" s="13"/>
    </row>
    <row r="20" spans="1:9" ht="10.5" customHeight="1" x14ac:dyDescent="0.25">
      <c r="A20" s="12">
        <v>5</v>
      </c>
      <c r="B20" s="13"/>
      <c r="C20" s="15">
        <f t="shared" si="0"/>
        <v>1</v>
      </c>
      <c r="D20" s="13"/>
      <c r="E20" s="13"/>
      <c r="F20" s="13"/>
      <c r="G20" s="13"/>
      <c r="H20" s="13"/>
      <c r="I20" s="13"/>
    </row>
    <row r="21" spans="1:9" ht="10.5" customHeight="1" x14ac:dyDescent="0.25">
      <c r="A21" s="12">
        <v>4</v>
      </c>
      <c r="B21" s="13"/>
      <c r="C21" s="15">
        <f t="shared" si="0"/>
        <v>1</v>
      </c>
      <c r="D21" s="13"/>
      <c r="E21" s="13"/>
      <c r="F21" s="13"/>
      <c r="G21" s="13"/>
      <c r="H21" s="13"/>
      <c r="I21" s="13"/>
    </row>
    <row r="22" spans="1:9" ht="10.5" customHeight="1" x14ac:dyDescent="0.25">
      <c r="A22" s="12">
        <v>3</v>
      </c>
      <c r="B22" s="13"/>
      <c r="C22" s="15">
        <f t="shared" si="0"/>
        <v>1</v>
      </c>
      <c r="D22" s="13"/>
      <c r="E22" s="13"/>
      <c r="F22" s="13"/>
      <c r="G22" s="13"/>
      <c r="H22" s="13"/>
      <c r="I22" s="13"/>
    </row>
    <row r="23" spans="1:9" ht="10.5" customHeight="1" x14ac:dyDescent="0.25">
      <c r="A23" s="12">
        <v>2</v>
      </c>
      <c r="B23" s="13"/>
      <c r="C23" s="15">
        <f t="shared" si="0"/>
        <v>1</v>
      </c>
      <c r="D23" s="13"/>
      <c r="E23" s="13"/>
      <c r="F23" s="13"/>
      <c r="G23" s="13"/>
      <c r="H23" s="13"/>
      <c r="I23" s="13"/>
    </row>
    <row r="24" spans="1:9" ht="10.5" customHeight="1" x14ac:dyDescent="0.25">
      <c r="A24" s="12">
        <v>1</v>
      </c>
      <c r="B24" s="13"/>
      <c r="C24" s="15">
        <f t="shared" si="0"/>
        <v>1</v>
      </c>
      <c r="D24" s="13"/>
      <c r="E24" s="13"/>
      <c r="F24" s="13"/>
      <c r="G24" s="13"/>
      <c r="H24" s="13"/>
      <c r="I24" s="13"/>
    </row>
    <row r="25" spans="1:9" x14ac:dyDescent="0.25">
      <c r="B25" s="13"/>
      <c r="C25" s="13"/>
      <c r="D25" s="13"/>
      <c r="E25" s="13"/>
      <c r="F25" s="13"/>
      <c r="G25" s="13"/>
      <c r="H25" s="13"/>
      <c r="I25" s="13"/>
    </row>
  </sheetData>
  <conditionalFormatting sqref="C12:C24">
    <cfRule type="notContainsBlanks" dxfId="2" priority="3">
      <formula>LEN(TRIM(C12))&gt;0</formula>
    </cfRule>
  </conditionalFormatting>
  <conditionalFormatting sqref="C8:C11">
    <cfRule type="notContainsBlanks" dxfId="1" priority="2">
      <formula>LEN(TRIM(C8))&gt;0</formula>
    </cfRule>
  </conditionalFormatting>
  <conditionalFormatting sqref="C5:C7">
    <cfRule type="notContainsBlanks" dxfId="0" priority="1">
      <formula>LEN(TRIM(C5))&gt;0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SpinButton1">
          <controlPr defaultSize="0" autoLine="0" r:id="rId4">
            <anchor moveWithCells="1">
              <from>
                <xdr:col>4</xdr:col>
                <xdr:colOff>200025</xdr:colOff>
                <xdr:row>15</xdr:row>
                <xdr:rowOff>85725</xdr:rowOff>
              </from>
              <to>
                <xdr:col>4</xdr:col>
                <xdr:colOff>504825</xdr:colOff>
                <xdr:row>19</xdr:row>
                <xdr:rowOff>95250</xdr:rowOff>
              </to>
            </anchor>
          </controlPr>
        </control>
      </mc:Choice>
      <mc:Fallback>
        <control shapeId="4097" r:id="rId3" name="SpinButton1"/>
      </mc:Fallback>
    </mc:AlternateContent>
    <mc:AlternateContent xmlns:mc="http://schemas.openxmlformats.org/markup-compatibility/2006">
      <mc:Choice Requires="x14">
        <control shapeId="4098" r:id="rId5" name="lblPercent">
          <controlPr defaultSize="0" autoLine="0" r:id="rId6">
            <anchor moveWithCells="1">
              <from>
                <xdr:col>3</xdr:col>
                <xdr:colOff>485775</xdr:colOff>
                <xdr:row>4</xdr:row>
                <xdr:rowOff>9525</xdr:rowOff>
              </from>
              <to>
                <xdr:col>8</xdr:col>
                <xdr:colOff>219075</xdr:colOff>
                <xdr:row>13</xdr:row>
                <xdr:rowOff>57150</xdr:rowOff>
              </to>
            </anchor>
          </controlPr>
        </control>
      </mc:Choice>
      <mc:Fallback>
        <control shapeId="4098" r:id="rId5" name="lblPerce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23"/>
  <sheetViews>
    <sheetView workbookViewId="0">
      <selection activeCell="N10" sqref="N10"/>
    </sheetView>
  </sheetViews>
  <sheetFormatPr defaultRowHeight="15" x14ac:dyDescent="0.25"/>
  <cols>
    <col min="1" max="1" width="9" customWidth="1"/>
    <col min="2" max="2" width="58" bestFit="1" customWidth="1"/>
    <col min="4" max="4" width="22.5703125" bestFit="1" customWidth="1"/>
    <col min="5" max="5" width="46.85546875" bestFit="1" customWidth="1"/>
  </cols>
  <sheetData>
    <row r="1" spans="1:5" ht="18.75" x14ac:dyDescent="0.3">
      <c r="A1" s="19" t="s">
        <v>72</v>
      </c>
    </row>
    <row r="2" spans="1:5" x14ac:dyDescent="0.25">
      <c r="A2" s="20" t="s">
        <v>17</v>
      </c>
      <c r="B2" s="21" t="s">
        <v>18</v>
      </c>
      <c r="C2" s="21" t="s">
        <v>19</v>
      </c>
      <c r="D2" s="21" t="s">
        <v>20</v>
      </c>
      <c r="E2" s="22" t="s">
        <v>21</v>
      </c>
    </row>
    <row r="3" spans="1:5" x14ac:dyDescent="0.25">
      <c r="A3" s="23">
        <v>1</v>
      </c>
      <c r="B3" s="24" t="s">
        <v>22</v>
      </c>
      <c r="C3" s="24">
        <v>1994</v>
      </c>
      <c r="D3" s="24" t="s">
        <v>23</v>
      </c>
      <c r="E3" s="25" t="s">
        <v>24</v>
      </c>
    </row>
    <row r="4" spans="1:5" x14ac:dyDescent="0.25">
      <c r="A4" s="26">
        <v>2</v>
      </c>
      <c r="B4" s="27" t="s">
        <v>25</v>
      </c>
      <c r="C4" s="27">
        <v>1972</v>
      </c>
      <c r="D4" s="27" t="s">
        <v>26</v>
      </c>
      <c r="E4" s="28" t="s">
        <v>27</v>
      </c>
    </row>
    <row r="5" spans="1:5" x14ac:dyDescent="0.25">
      <c r="A5" s="23">
        <v>3</v>
      </c>
      <c r="B5" s="24" t="s">
        <v>28</v>
      </c>
      <c r="C5" s="24">
        <v>1974</v>
      </c>
      <c r="D5" s="24" t="s">
        <v>26</v>
      </c>
      <c r="E5" s="25" t="s">
        <v>27</v>
      </c>
    </row>
    <row r="6" spans="1:5" x14ac:dyDescent="0.25">
      <c r="A6" s="26">
        <v>4</v>
      </c>
      <c r="B6" s="27" t="s">
        <v>29</v>
      </c>
      <c r="C6" s="27">
        <v>2008</v>
      </c>
      <c r="D6" s="27" t="s">
        <v>30</v>
      </c>
      <c r="E6" s="28" t="s">
        <v>31</v>
      </c>
    </row>
    <row r="7" spans="1:5" x14ac:dyDescent="0.25">
      <c r="A7" s="23">
        <v>5</v>
      </c>
      <c r="B7" s="24" t="s">
        <v>32</v>
      </c>
      <c r="C7" s="24">
        <v>1957</v>
      </c>
      <c r="D7" s="24" t="s">
        <v>33</v>
      </c>
      <c r="E7" s="25" t="s">
        <v>34</v>
      </c>
    </row>
    <row r="8" spans="1:5" x14ac:dyDescent="0.25">
      <c r="A8" s="26">
        <v>6</v>
      </c>
      <c r="B8" s="27" t="s">
        <v>35</v>
      </c>
      <c r="C8" s="27">
        <v>1993</v>
      </c>
      <c r="D8" s="27" t="s">
        <v>36</v>
      </c>
      <c r="E8" s="28" t="s">
        <v>37</v>
      </c>
    </row>
    <row r="9" spans="1:5" x14ac:dyDescent="0.25">
      <c r="A9" s="23">
        <v>7</v>
      </c>
      <c r="B9" s="24" t="s">
        <v>38</v>
      </c>
      <c r="C9" s="24">
        <v>2003</v>
      </c>
      <c r="D9" s="24" t="s">
        <v>39</v>
      </c>
      <c r="E9" s="25" t="s">
        <v>40</v>
      </c>
    </row>
    <row r="10" spans="1:5" x14ac:dyDescent="0.25">
      <c r="A10" s="26">
        <v>8</v>
      </c>
      <c r="B10" s="27" t="s">
        <v>41</v>
      </c>
      <c r="C10" s="27">
        <v>1994</v>
      </c>
      <c r="D10" s="27" t="s">
        <v>42</v>
      </c>
      <c r="E10" s="28" t="s">
        <v>27</v>
      </c>
    </row>
    <row r="11" spans="1:5" x14ac:dyDescent="0.25">
      <c r="A11" s="23">
        <v>9</v>
      </c>
      <c r="B11" s="24" t="s">
        <v>43</v>
      </c>
      <c r="C11" s="24">
        <v>1966</v>
      </c>
      <c r="D11" s="24" t="s">
        <v>44</v>
      </c>
      <c r="E11" s="25" t="s">
        <v>45</v>
      </c>
    </row>
    <row r="12" spans="1:5" x14ac:dyDescent="0.25">
      <c r="A12" s="26">
        <v>10</v>
      </c>
      <c r="B12" s="27" t="s">
        <v>46</v>
      </c>
      <c r="C12" s="27">
        <v>2001</v>
      </c>
      <c r="D12" s="27" t="s">
        <v>39</v>
      </c>
      <c r="E12" s="28" t="s">
        <v>40</v>
      </c>
    </row>
    <row r="13" spans="1:5" x14ac:dyDescent="0.25">
      <c r="A13" s="23">
        <v>11</v>
      </c>
      <c r="B13" s="24" t="s">
        <v>47</v>
      </c>
      <c r="C13" s="24">
        <v>1999</v>
      </c>
      <c r="D13" s="24" t="s">
        <v>48</v>
      </c>
      <c r="E13" s="25" t="s">
        <v>49</v>
      </c>
    </row>
    <row r="14" spans="1:5" x14ac:dyDescent="0.25">
      <c r="A14" s="26">
        <v>12</v>
      </c>
      <c r="B14" s="27" t="s">
        <v>50</v>
      </c>
      <c r="C14" s="27">
        <v>1994</v>
      </c>
      <c r="D14" s="27" t="s">
        <v>51</v>
      </c>
      <c r="E14" s="28" t="s">
        <v>52</v>
      </c>
    </row>
    <row r="15" spans="1:5" x14ac:dyDescent="0.25">
      <c r="A15" s="23">
        <v>13</v>
      </c>
      <c r="B15" s="24" t="s">
        <v>53</v>
      </c>
      <c r="C15" s="24">
        <v>2010</v>
      </c>
      <c r="D15" s="24" t="s">
        <v>30</v>
      </c>
      <c r="E15" s="25" t="s">
        <v>54</v>
      </c>
    </row>
    <row r="16" spans="1:5" x14ac:dyDescent="0.25">
      <c r="A16" s="26">
        <v>14</v>
      </c>
      <c r="B16" s="27" t="s">
        <v>55</v>
      </c>
      <c r="C16" s="27">
        <v>2002</v>
      </c>
      <c r="D16" s="27" t="s">
        <v>39</v>
      </c>
      <c r="E16" s="28" t="s">
        <v>40</v>
      </c>
    </row>
    <row r="17" spans="1:5" x14ac:dyDescent="0.25">
      <c r="A17" s="23">
        <v>15</v>
      </c>
      <c r="B17" s="24" t="s">
        <v>56</v>
      </c>
      <c r="C17" s="24">
        <v>1980</v>
      </c>
      <c r="D17" s="24" t="s">
        <v>57</v>
      </c>
      <c r="E17" s="25" t="s">
        <v>58</v>
      </c>
    </row>
    <row r="18" spans="1:5" x14ac:dyDescent="0.25">
      <c r="A18" s="26">
        <v>16</v>
      </c>
      <c r="B18" s="27" t="s">
        <v>59</v>
      </c>
      <c r="C18" s="27">
        <v>1999</v>
      </c>
      <c r="D18" s="27" t="s">
        <v>60</v>
      </c>
      <c r="E18" s="28" t="s">
        <v>61</v>
      </c>
    </row>
    <row r="19" spans="1:5" x14ac:dyDescent="0.25">
      <c r="A19" s="23">
        <v>17</v>
      </c>
      <c r="B19" s="24" t="s">
        <v>62</v>
      </c>
      <c r="C19" s="24">
        <v>1990</v>
      </c>
      <c r="D19" s="24" t="s">
        <v>63</v>
      </c>
      <c r="E19" s="25" t="s">
        <v>64</v>
      </c>
    </row>
    <row r="20" spans="1:5" x14ac:dyDescent="0.25">
      <c r="A20" s="26">
        <v>18</v>
      </c>
      <c r="B20" s="27" t="s">
        <v>65</v>
      </c>
      <c r="C20" s="27">
        <v>1975</v>
      </c>
      <c r="D20" s="27" t="s">
        <v>66</v>
      </c>
      <c r="E20" s="28" t="s">
        <v>24</v>
      </c>
    </row>
    <row r="21" spans="1:5" x14ac:dyDescent="0.25">
      <c r="A21" s="23">
        <v>19</v>
      </c>
      <c r="B21" s="24" t="s">
        <v>67</v>
      </c>
      <c r="C21" s="24">
        <v>1954</v>
      </c>
      <c r="D21" s="24" t="s">
        <v>68</v>
      </c>
      <c r="E21" s="25" t="s">
        <v>69</v>
      </c>
    </row>
    <row r="22" spans="1:5" x14ac:dyDescent="0.25">
      <c r="A22" s="16">
        <v>20</v>
      </c>
      <c r="B22" s="17" t="s">
        <v>70</v>
      </c>
      <c r="C22" s="17">
        <v>1995</v>
      </c>
      <c r="D22" s="17" t="s">
        <v>48</v>
      </c>
      <c r="E22" s="18" t="s">
        <v>71</v>
      </c>
    </row>
    <row r="23" spans="1:5" x14ac:dyDescent="0.25">
      <c r="A23" s="23">
        <v>21</v>
      </c>
      <c r="B23" s="24" t="s">
        <v>73</v>
      </c>
      <c r="C23" s="24">
        <v>1997</v>
      </c>
      <c r="D23" s="24" t="s">
        <v>74</v>
      </c>
      <c r="E23" s="25" t="s">
        <v>75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boBox1">
          <controlPr defaultSize="0" autoLine="0" autoPict="0" listFillRange="films" r:id="rId4">
            <anchor moveWithCells="1">
              <from>
                <xdr:col>5</xdr:col>
                <xdr:colOff>476250</xdr:colOff>
                <xdr:row>3</xdr:row>
                <xdr:rowOff>47625</xdr:rowOff>
              </from>
              <to>
                <xdr:col>9</xdr:col>
                <xdr:colOff>581025</xdr:colOff>
                <xdr:row>4</xdr:row>
                <xdr:rowOff>180975</xdr:rowOff>
              </to>
            </anchor>
          </controlPr>
        </control>
      </mc:Choice>
      <mc:Fallback>
        <control shapeId="5121" r:id="rId3" name="ComboBox1"/>
      </mc:Fallback>
    </mc:AlternateContent>
    <mc:AlternateContent xmlns:mc="http://schemas.openxmlformats.org/markup-compatibility/2006">
      <mc:Choice Requires="x14">
        <control shapeId="5122" r:id="rId5" name="cmbFilms2">
          <controlPr defaultSize="0" autoLine="0" autoPict="0" r:id="rId6">
            <anchor moveWithCells="1">
              <from>
                <xdr:col>5</xdr:col>
                <xdr:colOff>504825</xdr:colOff>
                <xdr:row>6</xdr:row>
                <xdr:rowOff>180975</xdr:rowOff>
              </from>
              <to>
                <xdr:col>9</xdr:col>
                <xdr:colOff>561975</xdr:colOff>
                <xdr:row>8</xdr:row>
                <xdr:rowOff>114300</xdr:rowOff>
              </to>
            </anchor>
          </controlPr>
        </control>
      </mc:Choice>
      <mc:Fallback>
        <control shapeId="5122" r:id="rId5" name="cmbFilms2"/>
      </mc:Fallback>
    </mc:AlternateContent>
    <mc:AlternateContent xmlns:mc="http://schemas.openxmlformats.org/markup-compatibility/2006">
      <mc:Choice Requires="x14">
        <control shapeId="5123" r:id="rId7" name="CommandButton1">
          <controlPr defaultSize="0" autoLine="0" r:id="rId8">
            <anchor moveWithCells="1">
              <from>
                <xdr:col>5</xdr:col>
                <xdr:colOff>590550</xdr:colOff>
                <xdr:row>10</xdr:row>
                <xdr:rowOff>104775</xdr:rowOff>
              </from>
              <to>
                <xdr:col>8</xdr:col>
                <xdr:colOff>295275</xdr:colOff>
                <xdr:row>12</xdr:row>
                <xdr:rowOff>114300</xdr:rowOff>
              </to>
            </anchor>
          </controlPr>
        </control>
      </mc:Choice>
      <mc:Fallback>
        <control shapeId="5123" r:id="rId7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H23"/>
  <sheetViews>
    <sheetView workbookViewId="0">
      <selection activeCell="J31" sqref="J31"/>
    </sheetView>
  </sheetViews>
  <sheetFormatPr defaultRowHeight="15" x14ac:dyDescent="0.25"/>
  <cols>
    <col min="1" max="1" width="9" customWidth="1"/>
    <col min="2" max="2" width="58" bestFit="1" customWidth="1"/>
    <col min="4" max="4" width="22.5703125" bestFit="1" customWidth="1"/>
    <col min="5" max="5" width="46.85546875" bestFit="1" customWidth="1"/>
  </cols>
  <sheetData>
    <row r="1" spans="1:8" ht="18.75" x14ac:dyDescent="0.3">
      <c r="A1" s="19" t="s">
        <v>72</v>
      </c>
      <c r="H1" t="s">
        <v>76</v>
      </c>
    </row>
    <row r="2" spans="1:8" x14ac:dyDescent="0.25">
      <c r="A2" s="20" t="s">
        <v>17</v>
      </c>
      <c r="B2" s="21" t="s">
        <v>18</v>
      </c>
      <c r="C2" s="21" t="s">
        <v>19</v>
      </c>
      <c r="D2" s="21" t="s">
        <v>20</v>
      </c>
      <c r="E2" s="22" t="s">
        <v>21</v>
      </c>
    </row>
    <row r="3" spans="1:8" x14ac:dyDescent="0.25">
      <c r="A3" s="23">
        <v>1</v>
      </c>
      <c r="B3" s="24" t="s">
        <v>22</v>
      </c>
      <c r="C3" s="24">
        <v>1994</v>
      </c>
      <c r="D3" s="24" t="s">
        <v>23</v>
      </c>
      <c r="E3" s="25" t="s">
        <v>24</v>
      </c>
    </row>
    <row r="4" spans="1:8" x14ac:dyDescent="0.25">
      <c r="A4" s="26">
        <v>2</v>
      </c>
      <c r="B4" s="27" t="s">
        <v>25</v>
      </c>
      <c r="C4" s="27">
        <v>1972</v>
      </c>
      <c r="D4" s="27" t="s">
        <v>26</v>
      </c>
      <c r="E4" s="28" t="s">
        <v>27</v>
      </c>
    </row>
    <row r="5" spans="1:8" x14ac:dyDescent="0.25">
      <c r="A5" s="23">
        <v>3</v>
      </c>
      <c r="B5" s="24" t="s">
        <v>28</v>
      </c>
      <c r="C5" s="24">
        <v>1974</v>
      </c>
      <c r="D5" s="24" t="s">
        <v>26</v>
      </c>
      <c r="E5" s="25" t="s">
        <v>27</v>
      </c>
    </row>
    <row r="6" spans="1:8" x14ac:dyDescent="0.25">
      <c r="A6" s="26">
        <v>4</v>
      </c>
      <c r="B6" s="27" t="s">
        <v>29</v>
      </c>
      <c r="C6" s="27">
        <v>2008</v>
      </c>
      <c r="D6" s="27" t="s">
        <v>30</v>
      </c>
      <c r="E6" s="28" t="s">
        <v>31</v>
      </c>
    </row>
    <row r="7" spans="1:8" x14ac:dyDescent="0.25">
      <c r="A7" s="23">
        <v>5</v>
      </c>
      <c r="B7" s="24" t="s">
        <v>32</v>
      </c>
      <c r="C7" s="24">
        <v>1957</v>
      </c>
      <c r="D7" s="24" t="s">
        <v>33</v>
      </c>
      <c r="E7" s="25" t="s">
        <v>34</v>
      </c>
    </row>
    <row r="8" spans="1:8" x14ac:dyDescent="0.25">
      <c r="A8" s="26">
        <v>6</v>
      </c>
      <c r="B8" s="27" t="s">
        <v>35</v>
      </c>
      <c r="C8" s="27">
        <v>1993</v>
      </c>
      <c r="D8" s="27" t="s">
        <v>36</v>
      </c>
      <c r="E8" s="28" t="s">
        <v>37</v>
      </c>
    </row>
    <row r="9" spans="1:8" x14ac:dyDescent="0.25">
      <c r="A9" s="23">
        <v>7</v>
      </c>
      <c r="B9" s="24" t="s">
        <v>38</v>
      </c>
      <c r="C9" s="24">
        <v>2003</v>
      </c>
      <c r="D9" s="24" t="s">
        <v>39</v>
      </c>
      <c r="E9" s="25" t="s">
        <v>40</v>
      </c>
    </row>
    <row r="10" spans="1:8" x14ac:dyDescent="0.25">
      <c r="A10" s="26">
        <v>8</v>
      </c>
      <c r="B10" s="27" t="s">
        <v>41</v>
      </c>
      <c r="C10" s="27">
        <v>1994</v>
      </c>
      <c r="D10" s="27" t="s">
        <v>42</v>
      </c>
      <c r="E10" s="28" t="s">
        <v>27</v>
      </c>
    </row>
    <row r="11" spans="1:8" x14ac:dyDescent="0.25">
      <c r="A11" s="23">
        <v>9</v>
      </c>
      <c r="B11" s="24" t="s">
        <v>43</v>
      </c>
      <c r="C11" s="24">
        <v>1966</v>
      </c>
      <c r="D11" s="24" t="s">
        <v>44</v>
      </c>
      <c r="E11" s="25" t="s">
        <v>45</v>
      </c>
    </row>
    <row r="12" spans="1:8" x14ac:dyDescent="0.25">
      <c r="A12" s="26">
        <v>10</v>
      </c>
      <c r="B12" s="27" t="s">
        <v>46</v>
      </c>
      <c r="C12" s="27">
        <v>2001</v>
      </c>
      <c r="D12" s="27" t="s">
        <v>39</v>
      </c>
      <c r="E12" s="28" t="s">
        <v>40</v>
      </c>
    </row>
    <row r="13" spans="1:8" x14ac:dyDescent="0.25">
      <c r="A13" s="23">
        <v>11</v>
      </c>
      <c r="B13" s="24" t="s">
        <v>47</v>
      </c>
      <c r="C13" s="24">
        <v>1999</v>
      </c>
      <c r="D13" s="24" t="s">
        <v>48</v>
      </c>
      <c r="E13" s="25" t="s">
        <v>49</v>
      </c>
    </row>
    <row r="14" spans="1:8" x14ac:dyDescent="0.25">
      <c r="A14" s="26">
        <v>12</v>
      </c>
      <c r="B14" s="27" t="s">
        <v>50</v>
      </c>
      <c r="C14" s="27">
        <v>1994</v>
      </c>
      <c r="D14" s="27" t="s">
        <v>51</v>
      </c>
      <c r="E14" s="28" t="s">
        <v>52</v>
      </c>
    </row>
    <row r="15" spans="1:8" x14ac:dyDescent="0.25">
      <c r="A15" s="23">
        <v>13</v>
      </c>
      <c r="B15" s="24" t="s">
        <v>53</v>
      </c>
      <c r="C15" s="24">
        <v>2010</v>
      </c>
      <c r="D15" s="24" t="s">
        <v>30</v>
      </c>
      <c r="E15" s="25" t="s">
        <v>54</v>
      </c>
    </row>
    <row r="16" spans="1:8" x14ac:dyDescent="0.25">
      <c r="A16" s="26">
        <v>14</v>
      </c>
      <c r="B16" s="27" t="s">
        <v>55</v>
      </c>
      <c r="C16" s="27">
        <v>2002</v>
      </c>
      <c r="D16" s="27" t="s">
        <v>39</v>
      </c>
      <c r="E16" s="28" t="s">
        <v>40</v>
      </c>
    </row>
    <row r="17" spans="1:5" x14ac:dyDescent="0.25">
      <c r="A17" s="23">
        <v>15</v>
      </c>
      <c r="B17" s="24" t="s">
        <v>56</v>
      </c>
      <c r="C17" s="24">
        <v>1980</v>
      </c>
      <c r="D17" s="24" t="s">
        <v>57</v>
      </c>
      <c r="E17" s="25" t="s">
        <v>58</v>
      </c>
    </row>
    <row r="18" spans="1:5" x14ac:dyDescent="0.25">
      <c r="A18" s="26">
        <v>16</v>
      </c>
      <c r="B18" s="27" t="s">
        <v>59</v>
      </c>
      <c r="C18" s="27">
        <v>1999</v>
      </c>
      <c r="D18" s="27" t="s">
        <v>60</v>
      </c>
      <c r="E18" s="28" t="s">
        <v>61</v>
      </c>
    </row>
    <row r="19" spans="1:5" x14ac:dyDescent="0.25">
      <c r="A19" s="23">
        <v>17</v>
      </c>
      <c r="B19" s="24" t="s">
        <v>62</v>
      </c>
      <c r="C19" s="24">
        <v>1990</v>
      </c>
      <c r="D19" s="24" t="s">
        <v>63</v>
      </c>
      <c r="E19" s="25" t="s">
        <v>64</v>
      </c>
    </row>
    <row r="20" spans="1:5" x14ac:dyDescent="0.25">
      <c r="A20" s="26">
        <v>18</v>
      </c>
      <c r="B20" s="27" t="s">
        <v>65</v>
      </c>
      <c r="C20" s="27">
        <v>1975</v>
      </c>
      <c r="D20" s="27" t="s">
        <v>66</v>
      </c>
      <c r="E20" s="28" t="s">
        <v>24</v>
      </c>
    </row>
    <row r="21" spans="1:5" x14ac:dyDescent="0.25">
      <c r="A21" s="23">
        <v>19</v>
      </c>
      <c r="B21" s="24" t="s">
        <v>67</v>
      </c>
      <c r="C21" s="24">
        <v>1954</v>
      </c>
      <c r="D21" s="24" t="s">
        <v>68</v>
      </c>
      <c r="E21" s="25" t="s">
        <v>69</v>
      </c>
    </row>
    <row r="22" spans="1:5" x14ac:dyDescent="0.25">
      <c r="A22" s="16">
        <v>20</v>
      </c>
      <c r="B22" s="17" t="s">
        <v>70</v>
      </c>
      <c r="C22" s="17">
        <v>1995</v>
      </c>
      <c r="D22" s="17" t="s">
        <v>48</v>
      </c>
      <c r="E22" s="18" t="s">
        <v>71</v>
      </c>
    </row>
    <row r="23" spans="1:5" x14ac:dyDescent="0.25">
      <c r="A23" s="23">
        <v>21</v>
      </c>
      <c r="B23" s="24" t="s">
        <v>73</v>
      </c>
      <c r="C23" s="24">
        <v>1997</v>
      </c>
      <c r="D23" s="24" t="s">
        <v>74</v>
      </c>
      <c r="E23" s="25" t="s">
        <v>75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8" r:id="rId3" name="ListBox1">
          <controlPr defaultSize="0" autoLine="0" r:id="rId4">
            <anchor moveWithCells="1">
              <from>
                <xdr:col>5</xdr:col>
                <xdr:colOff>257175</xdr:colOff>
                <xdr:row>3</xdr:row>
                <xdr:rowOff>114300</xdr:rowOff>
              </from>
              <to>
                <xdr:col>12</xdr:col>
                <xdr:colOff>180975</xdr:colOff>
                <xdr:row>14</xdr:row>
                <xdr:rowOff>180975</xdr:rowOff>
              </to>
            </anchor>
          </controlPr>
        </control>
      </mc:Choice>
      <mc:Fallback>
        <control shapeId="6148" r:id="rId3" name="ListBox1"/>
      </mc:Fallback>
    </mc:AlternateContent>
    <mc:AlternateContent xmlns:mc="http://schemas.openxmlformats.org/markup-compatibility/2006">
      <mc:Choice Requires="x14">
        <control shapeId="6149" r:id="rId5" name="CommandButton1">
          <controlPr defaultSize="0" autoLine="0" r:id="rId6">
            <anchor moveWithCells="1">
              <from>
                <xdr:col>4</xdr:col>
                <xdr:colOff>1066800</xdr:colOff>
                <xdr:row>24</xdr:row>
                <xdr:rowOff>152400</xdr:rowOff>
              </from>
              <to>
                <xdr:col>4</xdr:col>
                <xdr:colOff>3076575</xdr:colOff>
                <xdr:row>27</xdr:row>
                <xdr:rowOff>9525</xdr:rowOff>
              </to>
            </anchor>
          </controlPr>
        </control>
      </mc:Choice>
      <mc:Fallback>
        <control shapeId="6149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J48"/>
  <sheetViews>
    <sheetView showGridLines="0" topLeftCell="A3" zoomScale="145" zoomScaleNormal="145" workbookViewId="0">
      <selection activeCell="D19" sqref="D19"/>
    </sheetView>
  </sheetViews>
  <sheetFormatPr defaultRowHeight="15" x14ac:dyDescent="0.25"/>
  <cols>
    <col min="1" max="1" width="3.28515625" customWidth="1"/>
    <col min="2" max="2" width="42.85546875" bestFit="1" customWidth="1"/>
    <col min="6" max="6" width="12.5703125" customWidth="1"/>
    <col min="8" max="8" width="16.5703125" customWidth="1"/>
    <col min="9" max="9" width="22" customWidth="1"/>
    <col min="10" max="10" width="13.7109375" customWidth="1"/>
  </cols>
  <sheetData>
    <row r="2" spans="2:10" x14ac:dyDescent="0.25">
      <c r="B2" s="31" t="s">
        <v>90</v>
      </c>
      <c r="C2" s="32">
        <v>50</v>
      </c>
    </row>
    <row r="3" spans="2:10" x14ac:dyDescent="0.25">
      <c r="B3" s="31" t="s">
        <v>91</v>
      </c>
      <c r="C3" s="32">
        <v>100</v>
      </c>
    </row>
    <row r="4" spans="2:10" ht="15.75" thickBot="1" x14ac:dyDescent="0.3"/>
    <row r="5" spans="2:10" ht="30.75" thickBot="1" x14ac:dyDescent="0.3">
      <c r="B5" s="37" t="s">
        <v>92</v>
      </c>
      <c r="C5" s="38" t="s">
        <v>82</v>
      </c>
      <c r="D5" s="38" t="s">
        <v>81</v>
      </c>
      <c r="F5" s="29" t="s">
        <v>84</v>
      </c>
      <c r="G5" s="29" t="s">
        <v>86</v>
      </c>
      <c r="H5" s="29" t="s">
        <v>87</v>
      </c>
      <c r="I5" s="29" t="s">
        <v>88</v>
      </c>
      <c r="J5" s="29" t="s">
        <v>89</v>
      </c>
    </row>
    <row r="6" spans="2:10" ht="15.75" thickBot="1" x14ac:dyDescent="0.3">
      <c r="B6" s="39" t="s">
        <v>77</v>
      </c>
      <c r="C6" s="34">
        <f>C2*C3</f>
        <v>5000</v>
      </c>
      <c r="D6" s="34"/>
      <c r="F6">
        <v>20</v>
      </c>
      <c r="G6">
        <f>$C$3*F6</f>
        <v>2000</v>
      </c>
      <c r="H6">
        <f>$C$9</f>
        <v>1757</v>
      </c>
      <c r="I6">
        <f>$D$7*F6+H6</f>
        <v>2937</v>
      </c>
      <c r="J6">
        <f>G6-I6</f>
        <v>-937</v>
      </c>
    </row>
    <row r="7" spans="2:10" ht="15.75" thickBot="1" x14ac:dyDescent="0.3">
      <c r="B7" s="39" t="s">
        <v>78</v>
      </c>
      <c r="C7" s="34">
        <f>C2*D7</f>
        <v>2950</v>
      </c>
      <c r="D7" s="34">
        <v>59</v>
      </c>
      <c r="F7">
        <v>30</v>
      </c>
      <c r="G7">
        <f t="shared" ref="G7:G12" si="0">$C$3*F7</f>
        <v>3000</v>
      </c>
      <c r="H7">
        <f t="shared" ref="H7:H12" si="1">$C$9</f>
        <v>1757</v>
      </c>
      <c r="I7">
        <f t="shared" ref="I7:I12" si="2">$D$7*F7+H7</f>
        <v>3527</v>
      </c>
      <c r="J7">
        <f t="shared" ref="J7:J12" si="3">G7-I7</f>
        <v>-527</v>
      </c>
    </row>
    <row r="8" spans="2:10" ht="15.75" thickBot="1" x14ac:dyDescent="0.3">
      <c r="B8" s="39" t="s">
        <v>83</v>
      </c>
      <c r="C8" s="34">
        <f>C6-C7</f>
        <v>2050</v>
      </c>
      <c r="D8" s="34">
        <f>C3-D7</f>
        <v>41</v>
      </c>
      <c r="F8">
        <v>40</v>
      </c>
      <c r="G8">
        <f t="shared" si="0"/>
        <v>4000</v>
      </c>
      <c r="H8">
        <f t="shared" si="1"/>
        <v>1757</v>
      </c>
      <c r="I8">
        <f t="shared" si="2"/>
        <v>4117</v>
      </c>
      <c r="J8">
        <f t="shared" si="3"/>
        <v>-117</v>
      </c>
    </row>
    <row r="9" spans="2:10" ht="15.75" thickBot="1" x14ac:dyDescent="0.3">
      <c r="B9" s="39" t="s">
        <v>79</v>
      </c>
      <c r="C9" s="34">
        <v>1757</v>
      </c>
      <c r="D9" s="34"/>
      <c r="F9">
        <v>50</v>
      </c>
      <c r="G9">
        <f t="shared" si="0"/>
        <v>5000</v>
      </c>
      <c r="H9">
        <f t="shared" si="1"/>
        <v>1757</v>
      </c>
      <c r="I9">
        <f t="shared" si="2"/>
        <v>4707</v>
      </c>
      <c r="J9">
        <f t="shared" si="3"/>
        <v>293</v>
      </c>
    </row>
    <row r="10" spans="2:10" ht="15.75" thickBot="1" x14ac:dyDescent="0.3">
      <c r="B10" s="39" t="s">
        <v>85</v>
      </c>
      <c r="C10" s="34">
        <f>C8-C9</f>
        <v>293</v>
      </c>
      <c r="D10" s="34"/>
      <c r="F10">
        <v>60</v>
      </c>
      <c r="G10">
        <f t="shared" si="0"/>
        <v>6000</v>
      </c>
      <c r="H10">
        <f t="shared" si="1"/>
        <v>1757</v>
      </c>
      <c r="I10">
        <f t="shared" si="2"/>
        <v>5297</v>
      </c>
      <c r="J10">
        <f t="shared" si="3"/>
        <v>703</v>
      </c>
    </row>
    <row r="11" spans="2:10" ht="15.75" thickBot="1" x14ac:dyDescent="0.3">
      <c r="B11" s="40" t="s">
        <v>80</v>
      </c>
      <c r="C11" s="35"/>
      <c r="D11" s="36">
        <f>C9/D8</f>
        <v>42.853658536585364</v>
      </c>
      <c r="F11">
        <v>70</v>
      </c>
      <c r="G11">
        <f t="shared" si="0"/>
        <v>7000</v>
      </c>
      <c r="H11">
        <f t="shared" si="1"/>
        <v>1757</v>
      </c>
      <c r="I11">
        <f t="shared" si="2"/>
        <v>5887</v>
      </c>
      <c r="J11">
        <f t="shared" si="3"/>
        <v>1113</v>
      </c>
    </row>
    <row r="12" spans="2:10" x14ac:dyDescent="0.25">
      <c r="F12">
        <v>80</v>
      </c>
      <c r="G12">
        <f t="shared" si="0"/>
        <v>8000</v>
      </c>
      <c r="H12">
        <f t="shared" si="1"/>
        <v>1757</v>
      </c>
      <c r="I12">
        <f t="shared" si="2"/>
        <v>6477</v>
      </c>
      <c r="J12">
        <f t="shared" si="3"/>
        <v>1523</v>
      </c>
    </row>
    <row r="21" spans="2:2" x14ac:dyDescent="0.25">
      <c r="B21" s="33"/>
    </row>
    <row r="48" spans="1:1" x14ac:dyDescent="0.25">
      <c r="A48" s="3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2" r:id="rId3" name="ScrollBar2">
          <controlPr defaultSize="0" autoLine="0" autoPict="0" linkedCell="C9" r:id="rId4">
            <anchor moveWithCells="1">
              <from>
                <xdr:col>5</xdr:col>
                <xdr:colOff>571500</xdr:colOff>
                <xdr:row>5</xdr:row>
                <xdr:rowOff>104775</xdr:rowOff>
              </from>
              <to>
                <xdr:col>5</xdr:col>
                <xdr:colOff>790575</xdr:colOff>
                <xdr:row>14</xdr:row>
                <xdr:rowOff>142875</xdr:rowOff>
              </to>
            </anchor>
          </controlPr>
        </control>
      </mc:Choice>
      <mc:Fallback>
        <control shapeId="7172" r:id="rId3" name="ScrollBar2"/>
      </mc:Fallback>
    </mc:AlternateContent>
    <mc:AlternateContent xmlns:mc="http://schemas.openxmlformats.org/markup-compatibility/2006">
      <mc:Choice Requires="x14">
        <control shapeId="7171" r:id="rId5" name="ScrollBar1">
          <controlPr defaultSize="0" autoLine="0" autoPict="0" linkedCell="D7" r:id="rId6">
            <anchor moveWithCells="1">
              <from>
                <xdr:col>5</xdr:col>
                <xdr:colOff>38100</xdr:colOff>
                <xdr:row>5</xdr:row>
                <xdr:rowOff>104775</xdr:rowOff>
              </from>
              <to>
                <xdr:col>5</xdr:col>
                <xdr:colOff>257175</xdr:colOff>
                <xdr:row>14</xdr:row>
                <xdr:rowOff>142875</xdr:rowOff>
              </to>
            </anchor>
          </controlPr>
        </control>
      </mc:Choice>
      <mc:Fallback>
        <control shapeId="7171" r:id="rId5" name="ScrollBar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6D274-30ED-441A-B26A-D91D5CFA84B4}">
  <sheetPr codeName="Лист4"/>
  <dimension ref="A1"/>
  <sheetViews>
    <sheetView tabSelected="1" workbookViewId="0">
      <selection activeCell="J17" sqref="J1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ToggleButton1">
          <controlPr defaultSize="0" autoLine="0" autoPict="0" r:id="rId4">
            <anchor moveWithCells="1">
              <from>
                <xdr:col>10</xdr:col>
                <xdr:colOff>552450</xdr:colOff>
                <xdr:row>2</xdr:row>
                <xdr:rowOff>123825</xdr:rowOff>
              </from>
              <to>
                <xdr:col>13</xdr:col>
                <xdr:colOff>590550</xdr:colOff>
                <xdr:row>5</xdr:row>
                <xdr:rowOff>95250</xdr:rowOff>
              </to>
            </anchor>
          </controlPr>
        </control>
      </mc:Choice>
      <mc:Fallback>
        <control shapeId="8194" r:id="rId3" name="ToggleButton1"/>
      </mc:Fallback>
    </mc:AlternateContent>
    <mc:AlternateContent xmlns:mc="http://schemas.openxmlformats.org/markup-compatibility/2006">
      <mc:Choice Requires="x14">
        <control shapeId="8193" r:id="rId5" name="Image1">
          <controlPr defaultSize="0" autoLine="0" r:id="rId6">
            <anchor moveWithCells="1">
              <from>
                <xdr:col>0</xdr:col>
                <xdr:colOff>552450</xdr:colOff>
                <xdr:row>0</xdr:row>
                <xdr:rowOff>142875</xdr:rowOff>
              </from>
              <to>
                <xdr:col>8</xdr:col>
                <xdr:colOff>428625</xdr:colOff>
                <xdr:row>6</xdr:row>
                <xdr:rowOff>47625</xdr:rowOff>
              </to>
            </anchor>
          </controlPr>
        </control>
      </mc:Choice>
      <mc:Fallback>
        <control shapeId="8193" r:id="rId5" name="Image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Sheet1</vt:lpstr>
      <vt:lpstr>Calculator</vt:lpstr>
      <vt:lpstr>Option_Button</vt:lpstr>
      <vt:lpstr>Spinner</vt:lpstr>
      <vt:lpstr>ComboBox</vt:lpstr>
      <vt:lpstr>ListBox</vt:lpstr>
      <vt:lpstr>ScrollBar</vt:lpstr>
      <vt:lpstr>Picture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</dc:creator>
  <cp:lastModifiedBy>Ренат Лотфуллин</cp:lastModifiedBy>
  <dcterms:created xsi:type="dcterms:W3CDTF">2015-06-05T18:17:20Z</dcterms:created>
  <dcterms:modified xsi:type="dcterms:W3CDTF">2020-12-16T19:57:35Z</dcterms:modified>
</cp:coreProperties>
</file>